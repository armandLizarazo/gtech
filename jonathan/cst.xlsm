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25D08F83-7BF7-6C4C-A372-D18305C7A3B7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326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A25" i="8"/>
  <c r="W11" i="4"/>
  <c r="W12" i="4"/>
  <c r="W13" i="4"/>
  <c r="W14" i="4"/>
  <c r="W15" i="4"/>
  <c r="W16" i="4" l="1"/>
  <c r="W17" i="4"/>
  <c r="W18" i="4"/>
  <c r="W19" i="4"/>
  <c r="W20" i="4"/>
  <c r="W21" i="4"/>
  <c r="W22" i="4"/>
  <c r="W25" i="4" l="1"/>
  <c r="K1" i="9"/>
  <c r="B5" i="9"/>
  <c r="E1" i="10"/>
  <c r="Y1" i="4"/>
  <c r="B7" i="9" s="1"/>
  <c r="I1" i="9"/>
  <c r="J1" i="9"/>
  <c r="H1" i="9"/>
  <c r="W40" i="4" l="1"/>
  <c r="W32" i="4"/>
  <c r="W28" i="4"/>
  <c r="W31" i="4"/>
  <c r="W39" i="4"/>
  <c r="W35" i="4"/>
  <c r="W27" i="4"/>
  <c r="W38" i="4"/>
  <c r="W34" i="4"/>
  <c r="W30" i="4"/>
  <c r="W26" i="4"/>
  <c r="W23" i="4"/>
  <c r="W36" i="4"/>
  <c r="W24" i="4"/>
  <c r="W37" i="4"/>
  <c r="W33" i="4"/>
  <c r="W29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<sst xmlns="http://schemas.openxmlformats.org/spreadsheetml/2006/main" count="832" uniqueCount="285">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</sst>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3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0" totalsRowShown="0">
  <autoFilter ref="A1:W4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71" totalsRowShown="0">
  <autoFilter ref="A1:D7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8" t="s">
        <v>29</v>
      </c>
      <c r="B1" s="68"/>
      <c r="C1" s="68"/>
      <c r="D1" s="68"/>
      <c r="I1" t="s">
        <v>54</v>
      </c>
      <c r="J1">
        <f>MAX(db!A:A)+1</f>
        <v>39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8"/>
      <c r="B2" s="68"/>
      <c r="C2" s="68"/>
      <c r="D2" s="68"/>
      <c r="F2" s="4" t="s">
        <v>42</v>
      </c>
      <c r="G2" t="s">
        <v>30</v>
      </c>
      <c r="K2" s="10"/>
      <c r="AA2">
        <f>J1</f>
        <v>39</v>
      </c>
      <c r="AB2" s="21">
        <f ca="1">B4</f>
        <v>45214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5">
        <f ca="1">TODAY()</f>
        <v>45214</v>
      </c>
      <c r="C4" s="7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1"/>
      <c r="C6" s="72"/>
      <c r="D6" s="6" t="s">
        <v>59</v>
      </c>
      <c r="E6" s="71"/>
      <c r="F6" s="71"/>
      <c r="G6" s="6" t="s">
        <v>100</v>
      </c>
      <c r="H6" s="73"/>
      <c r="I6" s="73"/>
      <c r="J6" s="74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2"/>
      <c r="H10" s="62"/>
      <c r="I10" s="62"/>
      <c r="J10" s="62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6" t="s">
        <v>27</v>
      </c>
      <c r="H12" s="78" t="s">
        <v>27</v>
      </c>
      <c r="I12" s="80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7"/>
      <c r="H13" s="79"/>
      <c r="I13" s="60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7" t="s">
        <v>27</v>
      </c>
      <c r="H14" s="79" t="s">
        <v>27</v>
      </c>
      <c r="I14" s="60" t="s">
        <v>27</v>
      </c>
      <c r="J14" s="13"/>
      <c r="K14" s="10"/>
    </row>
    <row r="15" spans="1:48" x14ac:dyDescent="0.2">
      <c r="A15" s="6"/>
      <c r="B15" s="2"/>
      <c r="D15" s="2"/>
      <c r="G15" s="77"/>
      <c r="H15" s="79"/>
      <c r="I15" s="60"/>
      <c r="J15" s="13"/>
      <c r="K15" s="10"/>
    </row>
    <row r="16" spans="1:48" x14ac:dyDescent="0.2">
      <c r="A16" s="6" t="s">
        <v>38</v>
      </c>
      <c r="B16" s="44"/>
      <c r="D16" s="2"/>
      <c r="G16" s="77" t="s">
        <v>27</v>
      </c>
      <c r="H16" s="79" t="s">
        <v>27</v>
      </c>
      <c r="I16" s="60" t="s">
        <v>27</v>
      </c>
      <c r="J16" s="13" t="s">
        <v>28</v>
      </c>
      <c r="K16" s="10"/>
    </row>
    <row r="17" spans="1:11" x14ac:dyDescent="0.2">
      <c r="A17" s="7"/>
      <c r="G17" s="81"/>
      <c r="H17" s="82"/>
      <c r="I17" s="61"/>
      <c r="J17" s="13"/>
      <c r="K17" s="10"/>
    </row>
    <row r="18" spans="1:11" x14ac:dyDescent="0.2">
      <c r="A18" s="58" t="s">
        <v>68</v>
      </c>
      <c r="B18" s="58"/>
      <c r="C18" s="58"/>
      <c r="D18" s="58"/>
      <c r="E18" s="58"/>
      <c r="F18" s="58"/>
      <c r="G18" s="58"/>
      <c r="H18" s="58"/>
      <c r="I18" s="58"/>
      <c r="J18" s="59"/>
      <c r="K18" s="10"/>
    </row>
    <row r="19" spans="1:11" x14ac:dyDescent="0.2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14"/>
    </row>
    <row r="20" spans="1:11" x14ac:dyDescent="0.2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3"/>
      <c r="H23" s="63"/>
      <c r="I23" s="63"/>
      <c r="J23" s="63"/>
      <c r="K23" s="64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5"/>
      <c r="H24" s="65"/>
      <c r="I24" s="65"/>
      <c r="J24" s="65"/>
      <c r="K24" s="66"/>
    </row>
  </sheetData>
  <mergeCells count="19"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  <mergeCell ref="A9:J9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8" t="s">
        <v>29</v>
      </c>
      <c r="B1" s="68"/>
      <c r="C1" s="68"/>
      <c r="D1" s="68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8"/>
      <c r="B2" s="68"/>
      <c r="C2" s="68"/>
      <c r="D2" s="68"/>
      <c r="F2" s="4" t="s">
        <v>42</v>
      </c>
      <c r="G2" t="s">
        <v>30</v>
      </c>
      <c r="K2" s="10"/>
    </row>
    <row r="3" spans="1:15" ht="15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45214.6986525463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8" t="s">
        <v>29</v>
      </c>
      <c r="B1" s="68"/>
      <c r="C1" s="68"/>
      <c r="D1" s="68"/>
      <c r="I1" t="s">
        <v>54</v>
      </c>
      <c r="J1">
        <f>Hoja1!J1</f>
        <v>39</v>
      </c>
      <c r="K1" s="10"/>
    </row>
    <row r="2" spans="1:11" ht="13" customHeight="1" x14ac:dyDescent="0.2">
      <c r="A2" s="68"/>
      <c r="B2" s="68"/>
      <c r="C2" s="68"/>
      <c r="D2" s="68"/>
      <c r="F2" s="4" t="s">
        <v>42</v>
      </c>
      <c r="G2" t="s">
        <v>30</v>
      </c>
      <c r="K2" s="10"/>
    </row>
    <row r="3" spans="1:11" ht="13" customHeight="1" thickBot="1" x14ac:dyDescent="0.25">
      <c r="A3" s="69"/>
      <c r="B3" s="69"/>
      <c r="C3" s="69"/>
      <c r="D3" s="69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5">
        <f ca="1">TODAY()</f>
        <v>45214</v>
      </c>
      <c r="C4" s="7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58" t="s">
        <v>68</v>
      </c>
      <c r="B18" s="58"/>
      <c r="C18" s="58"/>
      <c r="D18" s="58"/>
      <c r="E18" s="58"/>
      <c r="F18" s="58"/>
      <c r="G18" s="58"/>
      <c r="H18" s="58"/>
      <c r="I18" s="58"/>
      <c r="J18" s="59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68" t="s">
        <v>29</v>
      </c>
      <c r="B29" s="68"/>
      <c r="C29" s="68"/>
      <c r="D29" s="68"/>
      <c r="I29" t="s">
        <v>54</v>
      </c>
      <c r="J29">
        <f>J1</f>
        <v>39</v>
      </c>
      <c r="K29" s="10"/>
    </row>
    <row r="30" spans="1:11" ht="13" customHeight="1" x14ac:dyDescent="0.2">
      <c r="A30" s="68"/>
      <c r="B30" s="68"/>
      <c r="C30" s="68"/>
      <c r="D30" s="68"/>
      <c r="F30" s="4" t="s">
        <v>42</v>
      </c>
      <c r="G30" t="s">
        <v>30</v>
      </c>
      <c r="K30" s="10"/>
    </row>
    <row r="31" spans="1:11" ht="13" customHeight="1" thickBot="1" x14ac:dyDescent="0.25">
      <c r="A31" s="69"/>
      <c r="B31" s="69"/>
      <c r="C31" s="69"/>
      <c r="D31" s="69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5">
        <f ca="1">B4</f>
        <v>45214</v>
      </c>
      <c r="C32" s="7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7" t="s">
        <v>0</v>
      </c>
      <c r="B37" s="67"/>
      <c r="C37" s="67"/>
      <c r="D37" s="67"/>
      <c r="E37" s="67"/>
      <c r="F37" s="67"/>
      <c r="G37" s="67"/>
      <c r="H37" s="67"/>
      <c r="I37" s="67"/>
      <c r="J37" s="67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58" t="s">
        <v>68</v>
      </c>
      <c r="B46" s="58"/>
      <c r="C46" s="58"/>
      <c r="D46" s="58"/>
      <c r="E46" s="58"/>
      <c r="F46" s="58"/>
      <c r="G46" s="58"/>
      <c r="H46" s="58"/>
      <c r="I46" s="58"/>
      <c r="J46" s="59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3"/>
      <c r="H53" s="63"/>
      <c r="I53" s="63"/>
      <c r="J53" s="63"/>
      <c r="K53" s="64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5"/>
      <c r="H54" s="65"/>
      <c r="I54" s="65"/>
      <c r="J54" s="65"/>
      <c r="K54" s="66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0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38</v>
      </c>
      <c r="B2">
        <v>45214</v>
      </c>
      <c r="C2" t="s">
        <v>281</v>
      </c>
      <c r="D2">
        <v>1070597186</v>
      </c>
      <c r="E2">
        <v>3123679613</v>
      </c>
      <c r="F2" t="s">
        <v>123</v>
      </c>
      <c r="G2" t="s">
        <v>282</v>
      </c>
      <c r="H2">
        <v>0</v>
      </c>
      <c r="I2" t="s">
        <v>8</v>
      </c>
      <c r="J2" t="s">
        <v>48</v>
      </c>
      <c r="K2" t="s">
        <v>284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47</v>
      </c>
      <c r="R2" t="s">
        <v>283</v>
      </c>
      <c r="S2">
        <v>120000</v>
      </c>
      <c r="T2">
        <v>120000</v>
      </c>
      <c r="U2">
        <v>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37</v>
      </c>
      <c r="B4">
        <v>45213</v>
      </c>
      <c r="C4" t="s">
        <v>273</v>
      </c>
      <c r="D4">
        <v>1064430722</v>
      </c>
      <c r="E4">
        <v>0</v>
      </c>
      <c r="F4" t="s">
        <v>123</v>
      </c>
      <c r="G4" t="s">
        <v>274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50</v>
      </c>
      <c r="O4" t="s">
        <v>275</v>
      </c>
      <c r="P4" t="s">
        <v>25</v>
      </c>
      <c r="Q4" t="s">
        <v>276</v>
      </c>
      <c r="R4">
        <v>0</v>
      </c>
      <c r="S4">
        <v>45000</v>
      </c>
      <c r="T4">
        <v>0</v>
      </c>
      <c r="U4">
        <v>-45000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36</v>
      </c>
      <c r="B5">
        <v>45213</v>
      </c>
      <c r="C5" t="s">
        <v>268</v>
      </c>
      <c r="D5">
        <v>1127629728</v>
      </c>
      <c r="E5">
        <v>3137582800</v>
      </c>
      <c r="F5" t="s">
        <v>75</v>
      </c>
      <c r="G5" t="s">
        <v>272</v>
      </c>
      <c r="H5">
        <v>0</v>
      </c>
      <c r="I5" t="s">
        <v>8</v>
      </c>
      <c r="J5" t="s">
        <v>48</v>
      </c>
      <c r="K5" t="s">
        <v>269</v>
      </c>
      <c r="L5" t="s">
        <v>48</v>
      </c>
      <c r="M5" t="s">
        <v>48</v>
      </c>
      <c r="N5" t="s">
        <v>49</v>
      </c>
      <c r="O5" t="s">
        <v>48</v>
      </c>
      <c r="P5" t="s">
        <v>25</v>
      </c>
      <c r="Q5" t="s">
        <v>270</v>
      </c>
      <c r="R5" t="s">
        <v>271</v>
      </c>
      <c r="S5">
        <v>110000</v>
      </c>
      <c r="T5">
        <v>0</v>
      </c>
      <c r="U5">
        <v>-110000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35</v>
      </c>
      <c r="B6">
        <v>45211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34</v>
      </c>
      <c r="B7">
        <v>45211</v>
      </c>
      <c r="C7" t="s">
        <v>261</v>
      </c>
      <c r="D7">
        <v>1041890096</v>
      </c>
      <c r="E7">
        <v>3043050569</v>
      </c>
      <c r="F7" t="s">
        <v>112</v>
      </c>
      <c r="G7" t="s">
        <v>263</v>
      </c>
      <c r="H7">
        <v>0</v>
      </c>
      <c r="I7" t="s">
        <v>9</v>
      </c>
      <c r="J7">
        <v>0</v>
      </c>
      <c r="K7" t="s">
        <v>262</v>
      </c>
      <c r="L7">
        <v>0</v>
      </c>
      <c r="M7">
        <v>0</v>
      </c>
      <c r="N7">
        <v>0</v>
      </c>
      <c r="O7" t="s">
        <v>48</v>
      </c>
      <c r="P7" t="s">
        <v>25</v>
      </c>
      <c r="Q7" t="s">
        <v>264</v>
      </c>
      <c r="R7" t="s">
        <v>265</v>
      </c>
      <c r="S7">
        <v>180000</v>
      </c>
      <c r="T7">
        <v>100000</v>
      </c>
      <c r="U7">
        <v>-80000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33</v>
      </c>
      <c r="B8">
        <v>45208</v>
      </c>
      <c r="C8" t="s">
        <v>257</v>
      </c>
      <c r="D8">
        <v>1038815841</v>
      </c>
      <c r="E8">
        <v>3222374598</v>
      </c>
      <c r="F8" t="s">
        <v>75</v>
      </c>
      <c r="G8" t="s">
        <v>258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21</v>
      </c>
      <c r="Q8" t="s">
        <v>259</v>
      </c>
      <c r="R8">
        <v>0</v>
      </c>
      <c r="S8">
        <v>65000</v>
      </c>
      <c r="T8">
        <v>0</v>
      </c>
      <c r="U8">
        <v>-65000</v>
      </c>
      <c r="V8" t="s">
        <v>260</v>
      </c>
      <c r="W8" t="str">
        <f>IFERROR(_xlfn.XLOOKUP(dbform[[#This Row],[Orden]],dbp!A:A,dbp!D:D),"Sin Procesos")</f>
        <v>Entregado</v>
      </c>
    </row>
    <row r="9" spans="1:25" x14ac:dyDescent="0.2">
      <c r="A9">
        <v>32</v>
      </c>
      <c r="B9">
        <v>45208</v>
      </c>
      <c r="C9" t="s">
        <v>252</v>
      </c>
      <c r="D9">
        <v>3740701</v>
      </c>
      <c r="E9">
        <v>3132328285</v>
      </c>
      <c r="F9" t="s">
        <v>71</v>
      </c>
      <c r="G9" t="s">
        <v>253</v>
      </c>
      <c r="H9">
        <v>0</v>
      </c>
      <c r="I9" t="s">
        <v>8</v>
      </c>
      <c r="J9" t="s">
        <v>48</v>
      </c>
      <c r="K9" t="s">
        <v>254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255</v>
      </c>
      <c r="R9" t="s">
        <v>256</v>
      </c>
      <c r="S9">
        <v>250000</v>
      </c>
      <c r="T9">
        <v>0</v>
      </c>
      <c r="U9">
        <v>-250000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31</v>
      </c>
      <c r="B10">
        <v>45207</v>
      </c>
      <c r="C10" t="s">
        <v>249</v>
      </c>
      <c r="D10">
        <v>53124869</v>
      </c>
      <c r="E10">
        <v>3143788114</v>
      </c>
      <c r="F10" t="s">
        <v>71</v>
      </c>
      <c r="G10" t="s">
        <v>250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251</v>
      </c>
      <c r="R10" t="s">
        <v>104</v>
      </c>
      <c r="S10">
        <v>120000</v>
      </c>
      <c r="T10">
        <v>120000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30</v>
      </c>
      <c r="B11">
        <v>45203</v>
      </c>
      <c r="C11" t="s">
        <v>240</v>
      </c>
      <c r="D11">
        <v>0</v>
      </c>
      <c r="E11">
        <v>3118965010</v>
      </c>
      <c r="F11" t="s">
        <v>75</v>
      </c>
      <c r="G11" t="s">
        <v>241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15</v>
      </c>
      <c r="O11" t="s">
        <v>14</v>
      </c>
      <c r="P11" t="s">
        <v>25</v>
      </c>
      <c r="Q11" t="s">
        <v>243</v>
      </c>
      <c r="R11" t="s">
        <v>242</v>
      </c>
      <c r="S11">
        <v>115000</v>
      </c>
      <c r="T11">
        <v>0</v>
      </c>
      <c r="U11">
        <v>-115000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29</v>
      </c>
      <c r="B12">
        <v>45203</v>
      </c>
      <c r="C12" t="s">
        <v>236</v>
      </c>
      <c r="D12">
        <v>16832730</v>
      </c>
      <c r="E12">
        <v>3013950263</v>
      </c>
      <c r="F12" t="s">
        <v>71</v>
      </c>
      <c r="G12" t="s">
        <v>237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18</v>
      </c>
      <c r="O12" t="s">
        <v>14</v>
      </c>
      <c r="P12" t="s">
        <v>25</v>
      </c>
      <c r="Q12" t="s">
        <v>73</v>
      </c>
      <c r="R12" t="s">
        <v>238</v>
      </c>
      <c r="S12">
        <v>115000</v>
      </c>
      <c r="T12">
        <v>0</v>
      </c>
      <c r="U12">
        <v>-115000</v>
      </c>
      <c r="V12" t="s">
        <v>239</v>
      </c>
      <c r="W12" t="str">
        <f>IFERROR(_xlfn.XLOOKUP(dbform[[#This Row],[Orden]],dbp!A:A,dbp!D:D),"Sin Procesos")</f>
        <v>Entregado</v>
      </c>
    </row>
    <row r="13" spans="1:25" x14ac:dyDescent="0.2">
      <c r="A13">
        <v>28</v>
      </c>
      <c r="B13">
        <v>45202</v>
      </c>
      <c r="C13" t="s">
        <v>229</v>
      </c>
      <c r="D13">
        <v>1073157989</v>
      </c>
      <c r="E13">
        <v>3001658026</v>
      </c>
      <c r="F13" t="s">
        <v>230</v>
      </c>
      <c r="G13" t="s">
        <v>231</v>
      </c>
      <c r="H13">
        <v>0</v>
      </c>
      <c r="I13" t="s">
        <v>8</v>
      </c>
      <c r="J13">
        <v>0</v>
      </c>
      <c r="K13" t="s">
        <v>232</v>
      </c>
      <c r="L13">
        <v>0</v>
      </c>
      <c r="M13">
        <v>0</v>
      </c>
      <c r="N13" t="s">
        <v>16</v>
      </c>
      <c r="O13" t="s">
        <v>14</v>
      </c>
      <c r="P13" t="s">
        <v>25</v>
      </c>
      <c r="Q13" t="s">
        <v>233</v>
      </c>
      <c r="R13" t="s">
        <v>234</v>
      </c>
      <c r="S13">
        <v>140000</v>
      </c>
      <c r="T13">
        <v>140000</v>
      </c>
      <c r="U13">
        <v>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27</v>
      </c>
      <c r="B14">
        <v>45201</v>
      </c>
      <c r="C14" t="s">
        <v>222</v>
      </c>
      <c r="D14">
        <v>0</v>
      </c>
      <c r="E14">
        <v>3166151933</v>
      </c>
      <c r="F14" t="s">
        <v>123</v>
      </c>
      <c r="G14" t="s">
        <v>223</v>
      </c>
      <c r="H14">
        <v>0</v>
      </c>
      <c r="I14" t="s">
        <v>8</v>
      </c>
      <c r="J14">
        <v>0</v>
      </c>
      <c r="K14" t="s">
        <v>226</v>
      </c>
      <c r="L14">
        <v>0</v>
      </c>
      <c r="M14">
        <v>0</v>
      </c>
      <c r="N14" t="s">
        <v>16</v>
      </c>
      <c r="O14">
        <v>0</v>
      </c>
      <c r="P14" t="s">
        <v>25</v>
      </c>
      <c r="Q14" t="s">
        <v>224</v>
      </c>
      <c r="R14" t="s">
        <v>225</v>
      </c>
      <c r="S14">
        <v>100000</v>
      </c>
      <c r="T14">
        <v>0</v>
      </c>
      <c r="U14">
        <v>-100000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26</v>
      </c>
      <c r="B15">
        <v>45201</v>
      </c>
      <c r="C15" t="s">
        <v>218</v>
      </c>
      <c r="D15">
        <v>0</v>
      </c>
      <c r="E15">
        <v>3113034083</v>
      </c>
      <c r="F15" t="s">
        <v>219</v>
      </c>
      <c r="G15" t="s">
        <v>220</v>
      </c>
      <c r="H15">
        <v>0</v>
      </c>
      <c r="I15" t="s">
        <v>8</v>
      </c>
      <c r="J15">
        <v>0</v>
      </c>
      <c r="K15">
        <v>0</v>
      </c>
      <c r="L15">
        <v>0</v>
      </c>
      <c r="M15">
        <v>0</v>
      </c>
      <c r="N15" t="s">
        <v>16</v>
      </c>
      <c r="O15" t="s">
        <v>14</v>
      </c>
      <c r="P15" t="s">
        <v>21</v>
      </c>
      <c r="Q15" t="s">
        <v>73</v>
      </c>
      <c r="R15" t="s">
        <v>221</v>
      </c>
      <c r="S15">
        <v>110000</v>
      </c>
      <c r="T15">
        <v>20000</v>
      </c>
      <c r="U15">
        <v>-90000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25</v>
      </c>
      <c r="B16">
        <v>45200</v>
      </c>
      <c r="C16" t="s">
        <v>213</v>
      </c>
      <c r="D16">
        <v>0</v>
      </c>
      <c r="E16">
        <v>3016414990</v>
      </c>
      <c r="F16" t="s">
        <v>214</v>
      </c>
      <c r="G16" t="s">
        <v>215</v>
      </c>
      <c r="H16">
        <v>0</v>
      </c>
      <c r="I16" t="s">
        <v>9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48</v>
      </c>
      <c r="P16" t="s">
        <v>21</v>
      </c>
      <c r="Q16" t="s">
        <v>216</v>
      </c>
      <c r="R16" t="s">
        <v>217</v>
      </c>
      <c r="S16">
        <v>20000</v>
      </c>
      <c r="T16">
        <v>0</v>
      </c>
      <c r="U16">
        <v>-20000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24</v>
      </c>
      <c r="B17">
        <v>45200</v>
      </c>
      <c r="C17" t="s">
        <v>210</v>
      </c>
      <c r="D17">
        <v>35355510</v>
      </c>
      <c r="E17">
        <v>3143083538</v>
      </c>
      <c r="F17" t="s">
        <v>123</v>
      </c>
      <c r="G17" t="s">
        <v>212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48</v>
      </c>
      <c r="P17" t="s">
        <v>25</v>
      </c>
      <c r="Q17" t="s">
        <v>73</v>
      </c>
      <c r="R17" t="s">
        <v>211</v>
      </c>
      <c r="S17">
        <v>115000</v>
      </c>
      <c r="T17">
        <v>115000</v>
      </c>
      <c r="U17">
        <v>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23</v>
      </c>
      <c r="B18">
        <v>45199</v>
      </c>
      <c r="C18" t="s">
        <v>206</v>
      </c>
      <c r="D18">
        <v>31740191</v>
      </c>
      <c r="E18">
        <v>0</v>
      </c>
      <c r="F18" t="s">
        <v>123</v>
      </c>
      <c r="G18" t="s">
        <v>207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16</v>
      </c>
      <c r="O18" t="s">
        <v>48</v>
      </c>
      <c r="P18" t="s">
        <v>21</v>
      </c>
      <c r="Q18" t="s">
        <v>73</v>
      </c>
      <c r="R18" t="s">
        <v>151</v>
      </c>
      <c r="S18">
        <v>120000</v>
      </c>
      <c r="T18">
        <v>120000</v>
      </c>
      <c r="U18">
        <v>0</v>
      </c>
      <c r="V18" t="s">
        <v>208</v>
      </c>
      <c r="W18" t="str">
        <f>IFERROR(_xlfn.XLOOKUP(dbform[[#This Row],[Orden]],dbp!A:A,dbp!D:D),"Sin Procesos")</f>
        <v>Entregado</v>
      </c>
    </row>
    <row r="19" spans="1:23" x14ac:dyDescent="0.2">
      <c r="A19">
        <v>22</v>
      </c>
      <c r="B19">
        <v>45198</v>
      </c>
      <c r="C19" t="s">
        <v>202</v>
      </c>
      <c r="D19">
        <v>1081819800</v>
      </c>
      <c r="E19">
        <v>3112303868</v>
      </c>
      <c r="F19" t="s">
        <v>75</v>
      </c>
      <c r="G19" t="s">
        <v>203</v>
      </c>
      <c r="H19">
        <v>0</v>
      </c>
      <c r="I19" t="s">
        <v>8</v>
      </c>
      <c r="J19" t="s">
        <v>48</v>
      </c>
      <c r="K19" t="s">
        <v>204</v>
      </c>
      <c r="L19" t="s">
        <v>48</v>
      </c>
      <c r="M19" t="s">
        <v>48</v>
      </c>
      <c r="N19" t="s">
        <v>49</v>
      </c>
      <c r="O19" t="s">
        <v>14</v>
      </c>
      <c r="P19" t="s">
        <v>25</v>
      </c>
      <c r="Q19" t="s">
        <v>73</v>
      </c>
      <c r="R19" t="s">
        <v>151</v>
      </c>
      <c r="S19">
        <v>120000</v>
      </c>
      <c r="T19">
        <v>120000</v>
      </c>
      <c r="U19">
        <v>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21</v>
      </c>
      <c r="B20">
        <v>45197</v>
      </c>
      <c r="C20" t="s">
        <v>198</v>
      </c>
      <c r="D20">
        <v>79222682</v>
      </c>
      <c r="E20">
        <v>3142126629</v>
      </c>
      <c r="F20" t="s">
        <v>75</v>
      </c>
      <c r="G20" t="s">
        <v>196</v>
      </c>
      <c r="H20">
        <v>0</v>
      </c>
      <c r="I20" t="s">
        <v>8</v>
      </c>
      <c r="J20" t="s">
        <v>48</v>
      </c>
      <c r="K20" t="s">
        <v>199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197</v>
      </c>
      <c r="S20">
        <v>110000</v>
      </c>
      <c r="T20">
        <v>110000</v>
      </c>
      <c r="U20">
        <v>0</v>
      </c>
      <c r="V20" t="s">
        <v>117</v>
      </c>
      <c r="W20">
        <f>IFERROR(_xlfn.XLOOKUP(dbform[[#This Row],[Orden]],dbp!A:A,dbp!D:D),"Sin Procesos")</f>
        <v>0</v>
      </c>
    </row>
    <row r="21" spans="1:23" x14ac:dyDescent="0.2">
      <c r="A21">
        <v>20</v>
      </c>
      <c r="B21">
        <v>45195</v>
      </c>
      <c r="C21" t="s">
        <v>189</v>
      </c>
      <c r="D21">
        <v>1006639196</v>
      </c>
      <c r="E21">
        <v>3209001525</v>
      </c>
      <c r="F21" t="s">
        <v>71</v>
      </c>
      <c r="G21" t="s">
        <v>190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15</v>
      </c>
      <c r="O21" t="s">
        <v>14</v>
      </c>
      <c r="P21" t="s">
        <v>25</v>
      </c>
      <c r="Q21" t="s">
        <v>47</v>
      </c>
      <c r="R21" t="s">
        <v>191</v>
      </c>
      <c r="S21">
        <v>115000</v>
      </c>
      <c r="T21">
        <v>115000</v>
      </c>
      <c r="U21">
        <v>0</v>
      </c>
      <c r="V21" t="s">
        <v>192</v>
      </c>
      <c r="W21" t="str">
        <f>IFERROR(_xlfn.XLOOKUP(dbform[[#This Row],[Orden]],dbp!A:A,dbp!D:D),"Sin Procesos")</f>
        <v>Entregado</v>
      </c>
    </row>
    <row r="22" spans="1:23" x14ac:dyDescent="0.2">
      <c r="A22">
        <v>19</v>
      </c>
      <c r="B22">
        <v>45193</v>
      </c>
      <c r="C22" t="s">
        <v>184</v>
      </c>
      <c r="D22">
        <v>78322764</v>
      </c>
      <c r="E22">
        <v>0</v>
      </c>
      <c r="F22" t="s">
        <v>186</v>
      </c>
      <c r="G22" t="s">
        <v>187</v>
      </c>
      <c r="H22">
        <v>0</v>
      </c>
      <c r="I22" t="s">
        <v>9</v>
      </c>
      <c r="J22" t="s">
        <v>48</v>
      </c>
      <c r="K22">
        <v>0</v>
      </c>
      <c r="L22" t="s">
        <v>48</v>
      </c>
      <c r="M22" t="s">
        <v>48</v>
      </c>
      <c r="N22" t="s">
        <v>49</v>
      </c>
      <c r="O22" t="s">
        <v>48</v>
      </c>
      <c r="P22" t="s">
        <v>24</v>
      </c>
      <c r="Q22" t="s">
        <v>185</v>
      </c>
      <c r="R22" t="s">
        <v>188</v>
      </c>
      <c r="S22">
        <v>50000</v>
      </c>
      <c r="T22">
        <v>0</v>
      </c>
      <c r="U22">
        <v>-50000</v>
      </c>
      <c r="V22" t="s">
        <v>117</v>
      </c>
      <c r="W22">
        <f>IFERROR(_xlfn.XLOOKUP(dbform[[#This Row],[Orden]],dbp!A:A,dbp!D:D),"Sin Procesos")</f>
        <v>0</v>
      </c>
    </row>
    <row r="23" spans="1:23" x14ac:dyDescent="0.2">
      <c r="A23">
        <v>18</v>
      </c>
      <c r="B23">
        <v>45188</v>
      </c>
      <c r="C23" t="s">
        <v>171</v>
      </c>
      <c r="D23">
        <v>1121972645</v>
      </c>
      <c r="E23">
        <v>3219105712</v>
      </c>
      <c r="F23" t="s">
        <v>123</v>
      </c>
      <c r="G23" t="s">
        <v>124</v>
      </c>
      <c r="H23">
        <v>0</v>
      </c>
      <c r="I23" t="s">
        <v>8</v>
      </c>
      <c r="J23" t="s">
        <v>48</v>
      </c>
      <c r="K23" t="s">
        <v>173</v>
      </c>
      <c r="L23" t="s">
        <v>48</v>
      </c>
      <c r="M23" t="s">
        <v>48</v>
      </c>
      <c r="N23" t="s">
        <v>49</v>
      </c>
      <c r="O23" t="s">
        <v>14</v>
      </c>
      <c r="P23" t="s">
        <v>23</v>
      </c>
      <c r="Q23" t="s">
        <v>172</v>
      </c>
      <c r="R23" t="s">
        <v>104</v>
      </c>
      <c r="S23">
        <v>165000</v>
      </c>
      <c r="T23">
        <v>0</v>
      </c>
      <c r="U23">
        <v>-165000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17</v>
      </c>
      <c r="B24">
        <v>45188</v>
      </c>
      <c r="C24" t="s">
        <v>165</v>
      </c>
      <c r="D24">
        <v>22656096</v>
      </c>
      <c r="E24">
        <v>3177960192</v>
      </c>
      <c r="F24" t="s">
        <v>166</v>
      </c>
      <c r="G24" t="s">
        <v>167</v>
      </c>
      <c r="H24" t="s">
        <v>168</v>
      </c>
      <c r="I24" t="s">
        <v>8</v>
      </c>
      <c r="J24" t="s">
        <v>48</v>
      </c>
      <c r="K24" t="s">
        <v>170</v>
      </c>
      <c r="L24" t="s">
        <v>48</v>
      </c>
      <c r="M24" t="s">
        <v>48</v>
      </c>
      <c r="N24" t="s">
        <v>18</v>
      </c>
      <c r="O24" t="s">
        <v>14</v>
      </c>
      <c r="P24" t="s">
        <v>25</v>
      </c>
      <c r="Q24" t="s">
        <v>73</v>
      </c>
      <c r="R24" t="s">
        <v>169</v>
      </c>
      <c r="S24">
        <v>125000</v>
      </c>
      <c r="T24">
        <v>70000</v>
      </c>
      <c r="U24">
        <v>-55000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16</v>
      </c>
      <c r="B25">
        <v>45186</v>
      </c>
      <c r="C25" t="s">
        <v>160</v>
      </c>
      <c r="D25">
        <v>1118538907</v>
      </c>
      <c r="E25">
        <v>3209141155</v>
      </c>
      <c r="F25" t="s">
        <v>56</v>
      </c>
      <c r="G25" t="s">
        <v>161</v>
      </c>
      <c r="H25">
        <v>0</v>
      </c>
      <c r="I25" t="s">
        <v>8</v>
      </c>
      <c r="J25">
        <v>0</v>
      </c>
      <c r="K25">
        <v>210809</v>
      </c>
      <c r="L25">
        <v>0</v>
      </c>
      <c r="M25">
        <v>0</v>
      </c>
      <c r="N25">
        <v>0</v>
      </c>
      <c r="O25" t="s">
        <v>14</v>
      </c>
      <c r="P25" t="s">
        <v>25</v>
      </c>
      <c r="Q25" t="s">
        <v>47</v>
      </c>
      <c r="R25" t="s">
        <v>162</v>
      </c>
      <c r="S25">
        <v>125000</v>
      </c>
      <c r="T25">
        <v>0</v>
      </c>
      <c r="U25">
        <v>-125000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15</v>
      </c>
      <c r="B26">
        <v>45186</v>
      </c>
      <c r="C26" t="s">
        <v>157</v>
      </c>
      <c r="D26">
        <v>52724902</v>
      </c>
      <c r="E26">
        <v>3013106719</v>
      </c>
      <c r="F26" t="s">
        <v>75</v>
      </c>
      <c r="G26" t="s">
        <v>158</v>
      </c>
      <c r="H26">
        <v>0</v>
      </c>
      <c r="I26" t="s">
        <v>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23</v>
      </c>
      <c r="Q26" t="s">
        <v>73</v>
      </c>
      <c r="R26" t="s">
        <v>151</v>
      </c>
      <c r="S26">
        <v>120000</v>
      </c>
      <c r="T26">
        <v>40000</v>
      </c>
      <c r="U26">
        <v>-80000</v>
      </c>
      <c r="V26" t="s">
        <v>117</v>
      </c>
      <c r="W26" t="str">
        <f>IFERROR(_xlfn.XLOOKUP(dbform[[#This Row],[Orden]],dbp!A:A,dbp!D:D),"Sin Procesos")</f>
        <v>Reparado</v>
      </c>
    </row>
    <row r="27" spans="1:23" x14ac:dyDescent="0.2">
      <c r="A27">
        <v>14</v>
      </c>
      <c r="B27">
        <v>45185</v>
      </c>
      <c r="C27" t="s">
        <v>153</v>
      </c>
      <c r="D27">
        <v>1003377494</v>
      </c>
      <c r="E27">
        <v>3209641024</v>
      </c>
      <c r="F27" t="s">
        <v>149</v>
      </c>
      <c r="G27" t="s">
        <v>154</v>
      </c>
      <c r="H27">
        <v>0</v>
      </c>
      <c r="I27" t="s">
        <v>8</v>
      </c>
      <c r="J27" t="s">
        <v>48</v>
      </c>
      <c r="K27">
        <v>1999</v>
      </c>
      <c r="L27" t="s">
        <v>48</v>
      </c>
      <c r="M27" t="s">
        <v>48</v>
      </c>
      <c r="N27" t="s">
        <v>16</v>
      </c>
      <c r="O27" t="s">
        <v>48</v>
      </c>
      <c r="P27" t="s">
        <v>25</v>
      </c>
      <c r="Q27" t="s">
        <v>155</v>
      </c>
      <c r="R27" t="s">
        <v>156</v>
      </c>
      <c r="S27">
        <v>120000</v>
      </c>
      <c r="T27">
        <v>120000</v>
      </c>
      <c r="U27">
        <v>0</v>
      </c>
      <c r="V27" t="s">
        <v>117</v>
      </c>
      <c r="W27" t="str">
        <f>IFERROR(_xlfn.XLOOKUP(dbform[[#This Row],[Orden]],dbp!A:A,dbp!D:D),"Sin Procesos")</f>
        <v>Sin Procesos</v>
      </c>
    </row>
    <row r="28" spans="1:23" x14ac:dyDescent="0.2">
      <c r="A28">
        <v>13</v>
      </c>
      <c r="B28">
        <v>45184</v>
      </c>
      <c r="C28" t="s">
        <v>148</v>
      </c>
      <c r="D28">
        <v>1066509408</v>
      </c>
      <c r="E28">
        <v>3229134023</v>
      </c>
      <c r="F28" t="s">
        <v>149</v>
      </c>
      <c r="G28" t="s">
        <v>150</v>
      </c>
      <c r="H28">
        <v>0</v>
      </c>
      <c r="I28" t="s">
        <v>8</v>
      </c>
      <c r="J28" t="s">
        <v>48</v>
      </c>
      <c r="K28">
        <v>2518</v>
      </c>
      <c r="L28" t="s">
        <v>48</v>
      </c>
      <c r="M28" t="s">
        <v>48</v>
      </c>
      <c r="N28" t="s">
        <v>16</v>
      </c>
      <c r="O28" t="s">
        <v>14</v>
      </c>
      <c r="P28" t="s">
        <v>25</v>
      </c>
      <c r="Q28" t="s">
        <v>73</v>
      </c>
      <c r="R28" t="s">
        <v>151</v>
      </c>
      <c r="S28">
        <v>110000</v>
      </c>
      <c r="T28">
        <v>30000</v>
      </c>
      <c r="U28">
        <v>-80000</v>
      </c>
      <c r="V28" t="s">
        <v>117</v>
      </c>
      <c r="W28" t="str">
        <f>IFERROR(_xlfn.XLOOKUP(dbform[[#This Row],[Orden]],dbp!A:A,dbp!D:D),"Sin Procesos")</f>
        <v>Reparado</v>
      </c>
    </row>
    <row r="29" spans="1:23" x14ac:dyDescent="0.2">
      <c r="A29">
        <v>12</v>
      </c>
      <c r="B29">
        <v>45184</v>
      </c>
      <c r="C29" t="s">
        <v>143</v>
      </c>
      <c r="D29">
        <v>1024580916</v>
      </c>
      <c r="E29">
        <v>3209122563</v>
      </c>
      <c r="F29" t="s">
        <v>75</v>
      </c>
      <c r="G29" t="s">
        <v>144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49</v>
      </c>
      <c r="O29" t="s">
        <v>14</v>
      </c>
      <c r="P29" t="s">
        <v>23</v>
      </c>
      <c r="Q29" t="s">
        <v>47</v>
      </c>
      <c r="R29" t="s">
        <v>145</v>
      </c>
      <c r="S29">
        <v>125000</v>
      </c>
      <c r="T29">
        <v>0</v>
      </c>
      <c r="U29">
        <v>-125000</v>
      </c>
      <c r="V29" t="s">
        <v>146</v>
      </c>
      <c r="W29" t="str">
        <f>IFERROR(_xlfn.XLOOKUP(dbform[[#This Row],[Orden]],dbp!A:A,dbp!D:D),"Sin Procesos")</f>
        <v>Reparado</v>
      </c>
    </row>
    <row r="30" spans="1:23" x14ac:dyDescent="0.2">
      <c r="A30">
        <v>11</v>
      </c>
      <c r="B30">
        <v>45184</v>
      </c>
      <c r="C30" t="s">
        <v>128</v>
      </c>
      <c r="D30">
        <v>1124370157</v>
      </c>
      <c r="E30">
        <v>3016079202</v>
      </c>
      <c r="F30" t="s">
        <v>71</v>
      </c>
      <c r="G30" t="s">
        <v>129</v>
      </c>
      <c r="H30">
        <v>0</v>
      </c>
      <c r="I30" t="s">
        <v>8</v>
      </c>
      <c r="J30" t="s">
        <v>48</v>
      </c>
      <c r="K30">
        <v>251403</v>
      </c>
      <c r="L30" t="s">
        <v>48</v>
      </c>
      <c r="M30" t="s">
        <v>48</v>
      </c>
      <c r="N30" t="s">
        <v>18</v>
      </c>
      <c r="O30" t="s">
        <v>14</v>
      </c>
      <c r="P30" t="s">
        <v>25</v>
      </c>
      <c r="Q30" t="s">
        <v>73</v>
      </c>
      <c r="R30" t="s">
        <v>130</v>
      </c>
      <c r="S30">
        <v>125000</v>
      </c>
      <c r="T30">
        <v>0</v>
      </c>
      <c r="U30">
        <v>-125000</v>
      </c>
      <c r="V30" t="s">
        <v>117</v>
      </c>
      <c r="W30" t="str">
        <f>IFERROR(_xlfn.XLOOKUP(dbform[[#This Row],[Orden]],dbp!A:A,dbp!D:D),"Sin Procesos")</f>
        <v>Reparado</v>
      </c>
    </row>
    <row r="31" spans="1:23" x14ac:dyDescent="0.2">
      <c r="A31">
        <v>10</v>
      </c>
      <c r="B31">
        <v>45184</v>
      </c>
      <c r="C31" t="s">
        <v>122</v>
      </c>
      <c r="D31">
        <v>606060606</v>
      </c>
      <c r="E31">
        <v>90900990</v>
      </c>
      <c r="F31" t="s">
        <v>123</v>
      </c>
      <c r="G31" t="s">
        <v>124</v>
      </c>
      <c r="H31" t="s">
        <v>125</v>
      </c>
      <c r="I31" t="s">
        <v>8</v>
      </c>
      <c r="J31" t="s">
        <v>11</v>
      </c>
      <c r="K31">
        <v>0</v>
      </c>
      <c r="L31" t="s">
        <v>13</v>
      </c>
      <c r="M31" t="s">
        <v>11</v>
      </c>
      <c r="N31" t="s">
        <v>49</v>
      </c>
      <c r="O31" t="s">
        <v>21</v>
      </c>
      <c r="P31" t="s">
        <v>24</v>
      </c>
      <c r="Q31" t="s">
        <v>126</v>
      </c>
      <c r="R31">
        <v>0</v>
      </c>
      <c r="S31">
        <v>30000</v>
      </c>
      <c r="T31">
        <v>30000</v>
      </c>
      <c r="U31">
        <v>0</v>
      </c>
      <c r="V31" t="s">
        <v>127</v>
      </c>
      <c r="W31" t="str">
        <f>IFERROR(_xlfn.XLOOKUP(dbform[[#This Row],[Orden]],dbp!A:A,dbp!D:D),"Sin Procesos")</f>
        <v>Reparado</v>
      </c>
    </row>
    <row r="32" spans="1:23" x14ac:dyDescent="0.2">
      <c r="A32">
        <v>9</v>
      </c>
      <c r="B32">
        <v>45184</v>
      </c>
      <c r="C32" t="s">
        <v>118</v>
      </c>
      <c r="D32">
        <v>20202020</v>
      </c>
      <c r="E32">
        <v>3040340304</v>
      </c>
      <c r="F32" t="s">
        <v>56</v>
      </c>
      <c r="G32" t="s">
        <v>57</v>
      </c>
      <c r="H32" t="s">
        <v>119</v>
      </c>
      <c r="I32" t="s">
        <v>8</v>
      </c>
      <c r="J32" t="s">
        <v>10</v>
      </c>
      <c r="K32">
        <v>0</v>
      </c>
      <c r="L32" t="s">
        <v>48</v>
      </c>
      <c r="M32" t="s">
        <v>10</v>
      </c>
      <c r="N32" t="s">
        <v>49</v>
      </c>
      <c r="O32" t="s">
        <v>14</v>
      </c>
      <c r="P32" t="s">
        <v>24</v>
      </c>
      <c r="Q32" t="s">
        <v>109</v>
      </c>
      <c r="R32" t="s">
        <v>120</v>
      </c>
      <c r="S32">
        <v>0</v>
      </c>
      <c r="T32">
        <v>0</v>
      </c>
      <c r="U32">
        <v>0</v>
      </c>
      <c r="V32" t="s">
        <v>121</v>
      </c>
      <c r="W32" t="str">
        <f>IFERROR(_xlfn.XLOOKUP(dbform[[#This Row],[Orden]],dbp!A:A,dbp!D:D),"Sin Procesos")</f>
        <v>Sin Procesos</v>
      </c>
    </row>
    <row r="33" spans="1:23" x14ac:dyDescent="0.2">
      <c r="A33">
        <v>8</v>
      </c>
      <c r="B33">
        <v>45184</v>
      </c>
      <c r="C33" t="s">
        <v>111</v>
      </c>
      <c r="D33">
        <v>346587</v>
      </c>
      <c r="E33">
        <v>308907060</v>
      </c>
      <c r="F33" t="s">
        <v>112</v>
      </c>
      <c r="G33" t="s">
        <v>113</v>
      </c>
      <c r="H33" t="s">
        <v>114</v>
      </c>
      <c r="I33" t="s">
        <v>8</v>
      </c>
      <c r="J33" t="s">
        <v>11</v>
      </c>
      <c r="K33">
        <v>0</v>
      </c>
      <c r="L33" t="s">
        <v>14</v>
      </c>
      <c r="M33" t="s">
        <v>10</v>
      </c>
      <c r="N33" t="s">
        <v>50</v>
      </c>
      <c r="O33" t="s">
        <v>14</v>
      </c>
      <c r="P33" t="s">
        <v>25</v>
      </c>
      <c r="Q33" t="s">
        <v>115</v>
      </c>
      <c r="R33" t="s">
        <v>116</v>
      </c>
      <c r="S33">
        <v>180000</v>
      </c>
      <c r="T33">
        <v>80000</v>
      </c>
      <c r="U33">
        <v>-100000</v>
      </c>
      <c r="V33" t="s">
        <v>117</v>
      </c>
      <c r="W33" t="str">
        <f>IFERROR(_xlfn.XLOOKUP(dbform[[#This Row],[Orden]],dbp!A:A,dbp!D:D),"Sin Procesos")</f>
        <v>Sin Procesos</v>
      </c>
    </row>
    <row r="34" spans="1:23" x14ac:dyDescent="0.2">
      <c r="A34">
        <v>7</v>
      </c>
      <c r="B34">
        <v>45184</v>
      </c>
      <c r="C34" t="s">
        <v>105</v>
      </c>
      <c r="D34">
        <v>907068</v>
      </c>
      <c r="E34">
        <v>3224156755</v>
      </c>
      <c r="F34" t="s">
        <v>107</v>
      </c>
      <c r="G34" t="s">
        <v>106</v>
      </c>
      <c r="H34" t="s">
        <v>108</v>
      </c>
      <c r="I34" t="s">
        <v>8</v>
      </c>
      <c r="J34" t="s">
        <v>48</v>
      </c>
      <c r="K34">
        <v>0</v>
      </c>
      <c r="L34" t="s">
        <v>48</v>
      </c>
      <c r="M34" t="s">
        <v>10</v>
      </c>
      <c r="N34" t="s">
        <v>49</v>
      </c>
      <c r="O34" t="s">
        <v>14</v>
      </c>
      <c r="P34" t="s">
        <v>23</v>
      </c>
      <c r="Q34" t="s">
        <v>109</v>
      </c>
      <c r="R34" t="s">
        <v>110</v>
      </c>
      <c r="S34">
        <v>350000</v>
      </c>
      <c r="T34">
        <v>300000</v>
      </c>
      <c r="U34">
        <v>-50000</v>
      </c>
      <c r="V34">
        <v>0</v>
      </c>
      <c r="W34" t="str">
        <f>IFERROR(_xlfn.XLOOKUP(dbform[[#This Row],[Orden]],dbp!A:A,dbp!D:D),"Sin Procesos")</f>
        <v>Sin Procesos</v>
      </c>
    </row>
    <row r="35" spans="1:23" x14ac:dyDescent="0.2">
      <c r="A35">
        <v>6</v>
      </c>
      <c r="B35">
        <v>45184</v>
      </c>
      <c r="C35" t="s">
        <v>99</v>
      </c>
      <c r="D35">
        <v>80677812</v>
      </c>
      <c r="E35">
        <v>3046313114</v>
      </c>
      <c r="F35" t="s">
        <v>75</v>
      </c>
      <c r="G35" t="s">
        <v>101</v>
      </c>
      <c r="H35" t="s">
        <v>102</v>
      </c>
      <c r="I35" t="s">
        <v>8</v>
      </c>
      <c r="J35" t="s">
        <v>10</v>
      </c>
      <c r="K35">
        <v>0</v>
      </c>
      <c r="L35" t="s">
        <v>14</v>
      </c>
      <c r="M35" t="s">
        <v>10</v>
      </c>
      <c r="N35" t="s">
        <v>50</v>
      </c>
      <c r="O35" t="s">
        <v>14</v>
      </c>
      <c r="P35" t="s">
        <v>25</v>
      </c>
      <c r="Q35" t="s">
        <v>103</v>
      </c>
      <c r="R35" t="s">
        <v>104</v>
      </c>
      <c r="S35">
        <v>30000</v>
      </c>
      <c r="T35">
        <v>15000</v>
      </c>
      <c r="U35">
        <v>-15000</v>
      </c>
      <c r="V35" t="s">
        <v>89</v>
      </c>
      <c r="W35" t="str">
        <f>IFERROR(_xlfn.XLOOKUP(dbform[[#This Row],[Orden]],dbp!A:A,dbp!D:D),"Sin Procesos")</f>
        <v>Sin Procesos</v>
      </c>
    </row>
    <row r="36" spans="1:23" x14ac:dyDescent="0.2">
      <c r="A36">
        <v>5</v>
      </c>
      <c r="B36">
        <v>45184</v>
      </c>
      <c r="C36" t="s">
        <v>87</v>
      </c>
      <c r="D36">
        <v>80577811</v>
      </c>
      <c r="E36">
        <v>3046313114</v>
      </c>
      <c r="F36" t="s">
        <v>94</v>
      </c>
      <c r="G36" t="s">
        <v>95</v>
      </c>
      <c r="H36" t="s">
        <v>96</v>
      </c>
      <c r="I36" t="s">
        <v>8</v>
      </c>
      <c r="J36" t="s">
        <v>10</v>
      </c>
      <c r="K36">
        <v>908070</v>
      </c>
      <c r="L36" t="s">
        <v>14</v>
      </c>
      <c r="M36" t="s">
        <v>10</v>
      </c>
      <c r="N36" t="s">
        <v>50</v>
      </c>
      <c r="O36" t="s">
        <v>14</v>
      </c>
      <c r="P36" t="s">
        <v>25</v>
      </c>
      <c r="Q36" t="s">
        <v>97</v>
      </c>
      <c r="R36" t="s">
        <v>98</v>
      </c>
      <c r="S36">
        <v>20000</v>
      </c>
      <c r="T36">
        <v>20000</v>
      </c>
      <c r="U36">
        <v>0</v>
      </c>
      <c r="V36" t="s">
        <v>89</v>
      </c>
      <c r="W36" t="str">
        <f>IFERROR(_xlfn.XLOOKUP(dbform[[#This Row],[Orden]],dbp!A:A,dbp!D:D),"Sin Procesos")</f>
        <v>Sin Procesos</v>
      </c>
    </row>
    <row r="37" spans="1:23" x14ac:dyDescent="0.2">
      <c r="A37">
        <v>4</v>
      </c>
      <c r="B37">
        <v>45180</v>
      </c>
      <c r="C37" t="s">
        <v>87</v>
      </c>
      <c r="D37">
        <v>80577811</v>
      </c>
      <c r="E37">
        <v>30346313114</v>
      </c>
      <c r="F37">
        <v>0</v>
      </c>
      <c r="G37">
        <v>0</v>
      </c>
      <c r="H37">
        <v>0</v>
      </c>
      <c r="I37" t="s">
        <v>8</v>
      </c>
      <c r="J37" t="s">
        <v>48</v>
      </c>
      <c r="K37">
        <v>0</v>
      </c>
      <c r="L37" t="s">
        <v>48</v>
      </c>
      <c r="M37" t="s">
        <v>48</v>
      </c>
      <c r="N37" t="s">
        <v>16</v>
      </c>
      <c r="O37" t="s">
        <v>14</v>
      </c>
      <c r="P37" t="s">
        <v>25</v>
      </c>
      <c r="Q37" t="s">
        <v>47</v>
      </c>
      <c r="R37" t="s">
        <v>88</v>
      </c>
      <c r="S37">
        <v>800000</v>
      </c>
      <c r="T37">
        <v>800000</v>
      </c>
      <c r="U37">
        <v>0</v>
      </c>
      <c r="V37" t="s">
        <v>89</v>
      </c>
      <c r="W37" t="str">
        <f>IFERROR(_xlfn.XLOOKUP(dbform[[#This Row],[Orden]],dbp!A:A,dbp!D:D),"Sin Procesos")</f>
        <v>Sin Procesos</v>
      </c>
    </row>
    <row r="38" spans="1:23" x14ac:dyDescent="0.2">
      <c r="A38">
        <v>3</v>
      </c>
      <c r="B38">
        <v>45180</v>
      </c>
      <c r="C38" t="s">
        <v>80</v>
      </c>
      <c r="D38">
        <v>6235612</v>
      </c>
      <c r="E38">
        <v>32364561253</v>
      </c>
      <c r="F38" t="s">
        <v>75</v>
      </c>
      <c r="G38" t="s">
        <v>81</v>
      </c>
      <c r="H38" t="s">
        <v>82</v>
      </c>
      <c r="I38" t="s">
        <v>8</v>
      </c>
      <c r="J38" t="s">
        <v>48</v>
      </c>
      <c r="K38">
        <v>0</v>
      </c>
      <c r="L38" t="s">
        <v>48</v>
      </c>
      <c r="M38" t="s">
        <v>48</v>
      </c>
      <c r="N38" t="s">
        <v>49</v>
      </c>
      <c r="O38" t="s">
        <v>14</v>
      </c>
      <c r="P38" t="s">
        <v>25</v>
      </c>
      <c r="Q38" t="s">
        <v>73</v>
      </c>
      <c r="R38" t="s">
        <v>83</v>
      </c>
      <c r="S38">
        <v>1500000</v>
      </c>
      <c r="T38">
        <v>1000000</v>
      </c>
      <c r="U38">
        <v>-500000</v>
      </c>
      <c r="V38">
        <v>123456789</v>
      </c>
      <c r="W38" t="str">
        <f>IFERROR(_xlfn.XLOOKUP(dbform[[#This Row],[Orden]],dbp!A:A,dbp!D:D),"Sin Procesos")</f>
        <v>Sin Procesos</v>
      </c>
    </row>
    <row r="39" spans="1:23" x14ac:dyDescent="0.2">
      <c r="A39">
        <v>2</v>
      </c>
      <c r="B39">
        <v>45180</v>
      </c>
      <c r="C39" t="s">
        <v>78</v>
      </c>
      <c r="D39">
        <v>8127643</v>
      </c>
      <c r="E39">
        <v>687523</v>
      </c>
      <c r="F39" t="s">
        <v>56</v>
      </c>
      <c r="G39" t="s">
        <v>57</v>
      </c>
      <c r="H39" t="s">
        <v>79</v>
      </c>
      <c r="I39" t="s">
        <v>8</v>
      </c>
      <c r="J39" t="s">
        <v>48</v>
      </c>
      <c r="K39">
        <v>0</v>
      </c>
      <c r="L39" t="s">
        <v>48</v>
      </c>
      <c r="M39" t="s">
        <v>48</v>
      </c>
      <c r="N39" t="s">
        <v>16</v>
      </c>
      <c r="O39" t="s">
        <v>14</v>
      </c>
      <c r="P39" t="s">
        <v>25</v>
      </c>
      <c r="Q39" t="s">
        <v>73</v>
      </c>
      <c r="R39" t="s">
        <v>74</v>
      </c>
      <c r="S39">
        <v>150000</v>
      </c>
      <c r="T39">
        <v>100000</v>
      </c>
      <c r="U39">
        <v>-50000</v>
      </c>
      <c r="V39" t="s">
        <v>85</v>
      </c>
      <c r="W39" t="str">
        <f>IFERROR(_xlfn.XLOOKUP(dbform[[#This Row],[Orden]],dbp!A:A,dbp!D:D),"Sin Procesos")</f>
        <v>Sin Procesos</v>
      </c>
    </row>
    <row r="40" spans="1:23" x14ac:dyDescent="0.2">
      <c r="A40">
        <v>1</v>
      </c>
      <c r="B40">
        <v>45180</v>
      </c>
      <c r="C40" t="s">
        <v>76</v>
      </c>
      <c r="D40">
        <v>46918236</v>
      </c>
      <c r="E40">
        <v>8613489612</v>
      </c>
      <c r="F40" t="s">
        <v>71</v>
      </c>
      <c r="G40" t="s">
        <v>72</v>
      </c>
      <c r="H40" t="s">
        <v>77</v>
      </c>
      <c r="I40" t="s">
        <v>8</v>
      </c>
      <c r="J40" t="s">
        <v>10</v>
      </c>
      <c r="K40">
        <v>0</v>
      </c>
      <c r="L40" t="s">
        <v>14</v>
      </c>
      <c r="M40" t="s">
        <v>48</v>
      </c>
      <c r="N40" t="s">
        <v>16</v>
      </c>
      <c r="O40" t="s">
        <v>14</v>
      </c>
      <c r="P40" t="s">
        <v>25</v>
      </c>
      <c r="Q40" t="s">
        <v>73</v>
      </c>
      <c r="R40" t="s">
        <v>74</v>
      </c>
      <c r="S40">
        <v>120000</v>
      </c>
      <c r="T40">
        <v>120000</v>
      </c>
      <c r="U40">
        <v>0</v>
      </c>
      <c r="V40" t="s">
        <v>86</v>
      </c>
      <c r="W40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7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18</v>
      </c>
      <c r="B3" s="39">
        <v>45213.833464004631</v>
      </c>
      <c r="C3" t="s">
        <v>280</v>
      </c>
      <c r="D3" t="s">
        <v>179</v>
      </c>
    </row>
    <row r="4" spans="1:5" x14ac:dyDescent="0.2">
      <c r="B4" s="39"/>
    </row>
    <row r="5" spans="1:5" x14ac:dyDescent="0.2">
      <c r="A5">
        <v>36</v>
      </c>
      <c r="B5" s="39">
        <v>45213.740765625</v>
      </c>
      <c r="C5" t="s">
        <v>279</v>
      </c>
      <c r="D5" t="s">
        <v>179</v>
      </c>
    </row>
    <row r="6" spans="1:5" x14ac:dyDescent="0.2">
      <c r="B6" s="39"/>
    </row>
    <row r="7" spans="1:5" x14ac:dyDescent="0.2">
      <c r="A7">
        <v>37</v>
      </c>
      <c r="B7" s="39">
        <v>45213.740327430554</v>
      </c>
      <c r="C7" t="s">
        <v>278</v>
      </c>
      <c r="D7" t="s">
        <v>179</v>
      </c>
    </row>
    <row r="8" spans="1:5" x14ac:dyDescent="0.2">
      <c r="B8" s="39"/>
    </row>
    <row r="9" spans="1:5" x14ac:dyDescent="0.2">
      <c r="A9">
        <v>36</v>
      </c>
      <c r="B9" s="39">
        <v>45213.691794907405</v>
      </c>
      <c r="C9" t="s">
        <v>277</v>
      </c>
      <c r="D9" t="s">
        <v>178</v>
      </c>
    </row>
    <row r="10" spans="1:5" x14ac:dyDescent="0.2">
      <c r="B10" s="39"/>
    </row>
    <row r="11" spans="1:5" x14ac:dyDescent="0.2">
      <c r="A11">
        <v>34</v>
      </c>
      <c r="B11" s="39">
        <v>45212.917821875002</v>
      </c>
      <c r="C11" t="s">
        <v>267</v>
      </c>
      <c r="D11" t="s">
        <v>179</v>
      </c>
    </row>
    <row r="12" spans="1:5" x14ac:dyDescent="0.2">
      <c r="B12" s="39"/>
    </row>
    <row r="13" spans="1:5" x14ac:dyDescent="0.2">
      <c r="A13">
        <v>29</v>
      </c>
      <c r="B13" s="39">
        <v>45211.903504398149</v>
      </c>
      <c r="C13" t="s">
        <v>266</v>
      </c>
      <c r="D13" t="s">
        <v>179</v>
      </c>
    </row>
    <row r="14" spans="1:5" x14ac:dyDescent="0.2">
      <c r="B14" s="39"/>
    </row>
    <row r="15" spans="1:5" x14ac:dyDescent="0.2">
      <c r="A15">
        <v>33</v>
      </c>
      <c r="B15" s="39">
        <v>45209.671874305554</v>
      </c>
      <c r="C15" t="s">
        <v>209</v>
      </c>
      <c r="D15" t="s">
        <v>179</v>
      </c>
    </row>
    <row r="16" spans="1:5" x14ac:dyDescent="0.2">
      <c r="B16" s="39"/>
    </row>
    <row r="17" spans="1:4" x14ac:dyDescent="0.2">
      <c r="A17">
        <v>31</v>
      </c>
      <c r="B17" s="39">
        <v>45207.776037731484</v>
      </c>
      <c r="C17" t="s">
        <v>209</v>
      </c>
      <c r="D17" t="s">
        <v>179</v>
      </c>
    </row>
    <row r="18" spans="1:4" x14ac:dyDescent="0.2">
      <c r="B18" s="39"/>
    </row>
    <row r="19" spans="1:4" x14ac:dyDescent="0.2">
      <c r="A19">
        <v>27</v>
      </c>
      <c r="B19" s="39">
        <v>45206.664390625003</v>
      </c>
      <c r="C19" t="s">
        <v>246</v>
      </c>
      <c r="D19" t="s">
        <v>179</v>
      </c>
    </row>
    <row r="20" spans="1:4" x14ac:dyDescent="0.2">
      <c r="B20" s="39"/>
    </row>
    <row r="21" spans="1:4" x14ac:dyDescent="0.2">
      <c r="A21">
        <v>30</v>
      </c>
      <c r="B21" s="39">
        <v>45204.898181828707</v>
      </c>
      <c r="C21" t="s">
        <v>245</v>
      </c>
      <c r="D21" t="s">
        <v>179</v>
      </c>
    </row>
    <row r="22" spans="1:4" x14ac:dyDescent="0.2">
      <c r="B22" s="39"/>
    </row>
    <row r="23" spans="1:4" x14ac:dyDescent="0.2">
      <c r="A23">
        <v>25</v>
      </c>
      <c r="B23" s="39">
        <v>45204.753242361112</v>
      </c>
      <c r="C23" t="s">
        <v>244</v>
      </c>
      <c r="D23" t="s">
        <v>179</v>
      </c>
    </row>
    <row r="24" spans="1:4" x14ac:dyDescent="0.2">
      <c r="B24" s="39"/>
    </row>
    <row r="25" spans="1:4" x14ac:dyDescent="0.2">
      <c r="A25">
        <v>30</v>
      </c>
      <c r="B25" s="39">
        <v>45203.927421064815</v>
      </c>
      <c r="C25" t="s">
        <v>174</v>
      </c>
      <c r="D25" t="s">
        <v>178</v>
      </c>
    </row>
    <row r="26" spans="1:4" x14ac:dyDescent="0.2">
      <c r="B26" s="39"/>
    </row>
    <row r="27" spans="1:4" x14ac:dyDescent="0.2">
      <c r="A27">
        <v>24</v>
      </c>
      <c r="B27" s="39">
        <v>45202.90371273148</v>
      </c>
      <c r="C27" t="s">
        <v>235</v>
      </c>
      <c r="D27" t="s">
        <v>179</v>
      </c>
    </row>
    <row r="28" spans="1:4" x14ac:dyDescent="0.2">
      <c r="B28" s="39"/>
    </row>
    <row r="29" spans="1:4" x14ac:dyDescent="0.2">
      <c r="A29">
        <v>28</v>
      </c>
      <c r="B29" s="39">
        <v>45202.903206828705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26</v>
      </c>
      <c r="B31" s="39">
        <v>45201.577428703706</v>
      </c>
      <c r="C31" t="s">
        <v>228</v>
      </c>
      <c r="D31" t="s">
        <v>179</v>
      </c>
    </row>
    <row r="32" spans="1:4" x14ac:dyDescent="0.2">
      <c r="B32" s="39"/>
    </row>
    <row r="33" spans="1:4" x14ac:dyDescent="0.2">
      <c r="A33">
        <v>26</v>
      </c>
      <c r="B33" s="39">
        <v>45201.549890162038</v>
      </c>
      <c r="C33" t="s">
        <v>227</v>
      </c>
      <c r="D33" t="s">
        <v>178</v>
      </c>
    </row>
    <row r="34" spans="1:4" x14ac:dyDescent="0.2">
      <c r="B34" s="39"/>
    </row>
    <row r="35" spans="1:4" x14ac:dyDescent="0.2">
      <c r="A35">
        <v>25</v>
      </c>
      <c r="B35" s="39">
        <v>45200.898513773151</v>
      </c>
      <c r="C35" t="s">
        <v>174</v>
      </c>
      <c r="D35" t="s">
        <v>178</v>
      </c>
    </row>
    <row r="36" spans="1:4" x14ac:dyDescent="0.2">
      <c r="B36" s="39"/>
    </row>
    <row r="37" spans="1:4" x14ac:dyDescent="0.2">
      <c r="A37">
        <v>23</v>
      </c>
      <c r="B37" s="39">
        <v>45199.901722337963</v>
      </c>
      <c r="C37" t="s">
        <v>209</v>
      </c>
      <c r="D37" t="s">
        <v>179</v>
      </c>
    </row>
    <row r="38" spans="1:4" x14ac:dyDescent="0.2">
      <c r="B38" s="39"/>
    </row>
    <row r="39" spans="1:4" x14ac:dyDescent="0.2">
      <c r="A39">
        <v>22</v>
      </c>
      <c r="B39" s="39">
        <v>45198.891121180553</v>
      </c>
      <c r="C39" t="s">
        <v>205</v>
      </c>
      <c r="D39" t="s">
        <v>179</v>
      </c>
    </row>
    <row r="40" spans="1:4" x14ac:dyDescent="0.2">
      <c r="B40" s="39"/>
    </row>
    <row r="41" spans="1:4" x14ac:dyDescent="0.2">
      <c r="A41">
        <v>0</v>
      </c>
      <c r="B41" s="39">
        <v>45197.921153124997</v>
      </c>
      <c r="C41" t="s">
        <v>201</v>
      </c>
      <c r="D41" t="s">
        <v>179</v>
      </c>
    </row>
    <row r="42" spans="1:4" x14ac:dyDescent="0.2">
      <c r="B42" s="39"/>
    </row>
    <row r="43" spans="1:4" x14ac:dyDescent="0.2">
      <c r="A43">
        <v>21</v>
      </c>
      <c r="B43" s="39">
        <v>45197.920668634259</v>
      </c>
      <c r="C43" t="s">
        <v>200</v>
      </c>
      <c r="D43">
        <v>0</v>
      </c>
    </row>
    <row r="44" spans="1:4" x14ac:dyDescent="0.2">
      <c r="B44" s="39"/>
    </row>
    <row r="45" spans="1:4" x14ac:dyDescent="0.2">
      <c r="A45">
        <v>20</v>
      </c>
      <c r="B45" s="39">
        <v>45195.839935879631</v>
      </c>
      <c r="C45">
        <v>0</v>
      </c>
      <c r="D45" t="s">
        <v>179</v>
      </c>
    </row>
    <row r="46" spans="1:4" x14ac:dyDescent="0.2">
      <c r="B46" s="39"/>
    </row>
    <row r="47" spans="1:4" x14ac:dyDescent="0.2">
      <c r="A47">
        <v>19</v>
      </c>
      <c r="B47" s="39">
        <v>45195.839123611113</v>
      </c>
      <c r="C47" t="s">
        <v>195</v>
      </c>
      <c r="D47">
        <v>0</v>
      </c>
    </row>
    <row r="48" spans="1:4" x14ac:dyDescent="0.2">
      <c r="B48" s="39"/>
    </row>
    <row r="49" spans="1:4" x14ac:dyDescent="0.2">
      <c r="A49">
        <v>20</v>
      </c>
      <c r="B49" s="39">
        <v>45195.765503356481</v>
      </c>
      <c r="C49" t="s">
        <v>194</v>
      </c>
      <c r="D49">
        <v>0</v>
      </c>
    </row>
    <row r="50" spans="1:4" x14ac:dyDescent="0.2">
      <c r="B50" s="39"/>
    </row>
    <row r="51" spans="1:4" x14ac:dyDescent="0.2">
      <c r="A51">
        <v>20</v>
      </c>
      <c r="B51" s="39">
        <v>45195.735324189816</v>
      </c>
      <c r="C51" t="s">
        <v>193</v>
      </c>
      <c r="D51">
        <v>0</v>
      </c>
    </row>
    <row r="52" spans="1:4" x14ac:dyDescent="0.2">
      <c r="B52" s="39"/>
    </row>
    <row r="53" spans="1:4" x14ac:dyDescent="0.2">
      <c r="A53">
        <v>18</v>
      </c>
      <c r="B53" s="39">
        <v>45192.264322916664</v>
      </c>
      <c r="C53" t="s">
        <v>183</v>
      </c>
      <c r="D53" t="s">
        <v>179</v>
      </c>
    </row>
    <row r="54" spans="1:4" x14ac:dyDescent="0.2">
      <c r="B54" s="39"/>
    </row>
    <row r="55" spans="1:4" x14ac:dyDescent="0.2">
      <c r="A55">
        <v>18</v>
      </c>
      <c r="B55" s="39">
        <v>45192.262791203706</v>
      </c>
      <c r="C55" t="s">
        <v>182</v>
      </c>
      <c r="D55" t="s">
        <v>180</v>
      </c>
    </row>
    <row r="56" spans="1:4" x14ac:dyDescent="0.2">
      <c r="B56" s="39"/>
    </row>
    <row r="57" spans="1:4" x14ac:dyDescent="0.2">
      <c r="A57">
        <v>18</v>
      </c>
      <c r="B57" s="39">
        <v>45192.262096296297</v>
      </c>
      <c r="C57" t="s">
        <v>181</v>
      </c>
      <c r="D57" t="s">
        <v>178</v>
      </c>
    </row>
    <row r="58" spans="1:4" x14ac:dyDescent="0.2">
      <c r="A58">
        <v>17</v>
      </c>
      <c r="B58" s="39">
        <v>45189.926555555554</v>
      </c>
      <c r="C58" t="s">
        <v>175</v>
      </c>
      <c r="D58" t="s">
        <v>179</v>
      </c>
    </row>
    <row r="59" spans="1:4" x14ac:dyDescent="0.2">
      <c r="A59">
        <v>17</v>
      </c>
      <c r="B59" s="39">
        <v>45189.676139351854</v>
      </c>
      <c r="C59" t="s">
        <v>174</v>
      </c>
      <c r="D59" t="s">
        <v>178</v>
      </c>
    </row>
    <row r="60" spans="1:4" x14ac:dyDescent="0.2">
      <c r="A60">
        <v>16</v>
      </c>
      <c r="B60" s="39">
        <v>45187.714141550925</v>
      </c>
      <c r="C60" t="s">
        <v>164</v>
      </c>
      <c r="D60" t="s">
        <v>179</v>
      </c>
    </row>
    <row r="61" spans="1:4" x14ac:dyDescent="0.2">
      <c r="A61">
        <v>16</v>
      </c>
      <c r="B61" s="39">
        <v>45187.692742129628</v>
      </c>
      <c r="C61" t="s">
        <v>163</v>
      </c>
      <c r="D61" t="s">
        <v>178</v>
      </c>
    </row>
    <row r="62" spans="1:4" x14ac:dyDescent="0.2">
      <c r="A62">
        <v>15</v>
      </c>
      <c r="B62" s="39">
        <v>45186.662879745367</v>
      </c>
      <c r="C62" t="s">
        <v>159</v>
      </c>
      <c r="D62" t="s">
        <v>178</v>
      </c>
    </row>
    <row r="63" spans="1:4" x14ac:dyDescent="0.2">
      <c r="A63">
        <v>13</v>
      </c>
      <c r="B63" s="39">
        <v>45184.89964236111</v>
      </c>
      <c r="C63" t="s">
        <v>152</v>
      </c>
      <c r="D63" t="s">
        <v>178</v>
      </c>
    </row>
    <row r="64" spans="1:4" x14ac:dyDescent="0.2">
      <c r="A64">
        <v>12</v>
      </c>
      <c r="B64" s="39">
        <v>45184.810916319446</v>
      </c>
      <c r="C64" t="s">
        <v>147</v>
      </c>
      <c r="D64" t="s">
        <v>178</v>
      </c>
    </row>
    <row r="65" spans="1:4" x14ac:dyDescent="0.2">
      <c r="A65">
        <v>1</v>
      </c>
      <c r="B65" s="39">
        <v>45184.672752777777</v>
      </c>
      <c r="C65" t="s">
        <v>142</v>
      </c>
      <c r="D65" t="s">
        <v>179</v>
      </c>
    </row>
    <row r="66" spans="1:4" x14ac:dyDescent="0.2">
      <c r="A66">
        <v>10</v>
      </c>
      <c r="B66" s="39">
        <v>45184.671338888889</v>
      </c>
      <c r="C66" t="s">
        <v>141</v>
      </c>
      <c r="D66" t="s">
        <v>178</v>
      </c>
    </row>
    <row r="67" spans="1:4" x14ac:dyDescent="0.2">
      <c r="A67">
        <v>10</v>
      </c>
      <c r="B67" s="39">
        <v>45184.669659375002</v>
      </c>
      <c r="C67" t="s">
        <v>140</v>
      </c>
      <c r="D67" t="s">
        <v>178</v>
      </c>
    </row>
    <row r="68" spans="1:4" x14ac:dyDescent="0.2">
      <c r="A68">
        <v>11</v>
      </c>
      <c r="B68" s="39">
        <v>45184.668373148146</v>
      </c>
      <c r="C68" t="s">
        <v>137</v>
      </c>
      <c r="D68" t="s">
        <v>178</v>
      </c>
    </row>
    <row r="69" spans="1:4" x14ac:dyDescent="0.2">
      <c r="A69">
        <v>11</v>
      </c>
      <c r="B69" s="39">
        <v>45184.666117245368</v>
      </c>
      <c r="C69" t="s">
        <v>136</v>
      </c>
      <c r="D69" t="s">
        <v>178</v>
      </c>
    </row>
    <row r="70" spans="1:4" x14ac:dyDescent="0.2">
      <c r="A70">
        <v>11</v>
      </c>
      <c r="B70" s="39">
        <v>45184.661205092591</v>
      </c>
      <c r="C70" t="s">
        <v>133</v>
      </c>
      <c r="D7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2023-10-15T21:39:44Z</cp:lastPrinted>
  <dcterms:created xsi:type="dcterms:W3CDTF">2023-09-09T14:17:02Z</dcterms:created>
  <dcterms:modified xsi:type="dcterms:W3CDTF">2023-10-16T02:46:47Z</dcterms:modified>
</cp:coreProperties>
</file>