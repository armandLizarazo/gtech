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C595F4F0-3358-1E49-A1D6-722BCB849307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9" l="1"/>
  <c r="E1" i="10"/>
  <c r="A26" i="5" s="1"/>
  <c r="Y1" i="4"/>
  <c r="B7" i="9" s="1"/>
  <c r="I1" i="9"/>
  <c r="J1" i="9"/>
  <c r="H1" i="9"/>
  <c r="B28" i="5" l="1"/>
  <c r="D28" i="5"/>
  <c r="E3" i="9"/>
  <c r="B3" i="9"/>
  <c r="F13" i="1" l="1"/>
  <c r="AV2" i="1" s="1"/>
  <c r="H8" i="8"/>
  <c r="H36" i="8" s="1"/>
  <c r="D24" i="8"/>
  <c r="D52" i="8" s="1"/>
  <c r="B24" i="8"/>
  <c r="B52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6" i="5" l="1"/>
  <c r="B4" i="5"/>
  <c r="J1" i="8"/>
  <c r="J29" i="8" s="1"/>
  <c r="F24" i="8"/>
  <c r="F52" i="8"/>
  <c r="D10" i="5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<sst xmlns="http://schemas.openxmlformats.org/spreadsheetml/2006/main" count="458" uniqueCount="164">
  <si>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</si>
  <si>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</si>
  <si>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</si>
  <si>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</si>
  <si>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</si>
  <si>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</si>
  <si>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</si>
  <si>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</si>
  <si>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</si>
  <si>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</si>
  <si>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</si>
  <si>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</si>
  <si>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</si>
  <si>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</si>
  <si>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</si>
  <si>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</si>
  <si>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</si>
  <si>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</si>
  <si>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</si>
  <si>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</si>
  <si>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</si>
  <si>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</si>
  <si>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</si>
  <si>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</si>
  <si>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</si>
  <si>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</si>
  <si>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</si>
  <si>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</si>
  <si>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</si>
  <si>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</si>
  <si>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</si>
  <si>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</si>
  <si>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</si>
  <si>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</si>
  <si>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</si>
  <si>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</si>
  <si>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</si>
  <si>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</si>
  <si>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</si>
  <si>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</si>
  <si>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</si>
  <si>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</si>
  <si>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</si>
  <si>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</si>
  <si>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</si>
  <si>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</si>
  <si>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</si>
  <si>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</si>
  <si>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</si>
  <si>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</si>
  <si>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</si>
  <si>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</si>
  <si>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</si>
  <si>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</si>
  <si>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</si>
  <si>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</si>
  <si>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</si>
  <si>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</si>
  <si>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</si>
  <si>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</si>
  <si>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</si>
  <si>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</si>
  <si>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</si>
  <si>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</si>
  <si>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</si>
  <si>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</si>
  <si>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</si>
  <si>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</si>
  <si>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</si>
  <si>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</si>
  <si>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</si>
  <si>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</si>
  <si>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</si>
  <si>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</si>
  <si>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</si>
  <si>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</si>
  <si>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</si>
  <si>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</si>
  <si>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</si>
  <si>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</si>
  <si>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</si>
  <si>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</si>
  <si>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</si>
  <si>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</si>
  <si>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</si>
  <si>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</si>
  <si>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</si>
  <si>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</si>
  <si>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</si>
  <si>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</si>
  <si>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</si>
  <si>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</si>
  <si>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</si>
  <si>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</si>
  <si>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</si>
  <si>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</si>
  <si>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</si>
  <si>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</si>
  <si>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</si>
  <si>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</si>
  <si>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</si>
  <si>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</si>
  <si>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</si>
  <si>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</si>
  <si>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</si>
  <si>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</si>
  <si>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</si>
  <si>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</si>
  <si>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</si>
  <si>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</si>
  <si>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</si>
  <si>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</si>
  <si>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</si>
  <si>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</si>
  <si>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</si>
  <si>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</si>
  <si>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</si>
  <si>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</si>
  <si>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</si>
  <si>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</si>
  <si>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</si>
  <si>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</si>
  <si>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</si>
  <si>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</si>
  <si>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</si>
  <si>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</si>
  <si>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</si>
  <si>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===========================================================================================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</si>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</sst>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 vertical="top"/>
    </xf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18" totalsRowShown="0">
  <autoFilter ref="A1:W18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C11" totalsRowShown="0">
  <autoFilter ref="A1:C11" xr:uid="{A4408316-2558-8545-9CAC-AE323F8C7418}"/>
  <tableColumns count="3">
    <tableColumn id="1" xr3:uid="{3EA9B4F1-1697-B84C-8E7B-F401E0435518}" name="Orden"/>
    <tableColumn id="2" xr3:uid="{38796A09-7A28-624B-9E9A-8702134E7921}" name="Fecha"/>
    <tableColumn id="3" xr3:uid="{A81D6319-9223-A44E-AB8B-0CD0A350C6EF}" name="Proc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4" t="s">
        <v>29</v>
      </c>
      <c r="B1" s="54"/>
      <c r="C1" s="54"/>
      <c r="D1" s="54"/>
      <c r="I1" t="s">
        <v>54</v>
      </c>
      <c r="J1">
        <f>MAX(db!A:A)+1</f>
        <v>17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4"/>
      <c r="B2" s="54"/>
      <c r="C2" s="54"/>
      <c r="D2" s="54"/>
      <c r="F2" s="4" t="s">
        <v>42</v>
      </c>
      <c r="G2" t="s">
        <v>30</v>
      </c>
      <c r="K2" s="10"/>
      <c r="AA2">
        <f>J1</f>
        <v>17</v>
      </c>
      <c r="AB2" s="21">
        <f ca="1">B4</f>
        <v>45186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5"/>
      <c r="B3" s="55"/>
      <c r="C3" s="55"/>
      <c r="D3" s="55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0">
        <f ca="1">TODAY()</f>
        <v>45186</v>
      </c>
      <c r="C4" s="60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7"/>
      <c r="C6" s="58"/>
      <c r="D6" s="6" t="s">
        <v>59</v>
      </c>
      <c r="E6" s="57"/>
      <c r="F6" s="57"/>
      <c r="G6" s="6" t="s">
        <v>100</v>
      </c>
      <c r="H6" s="48"/>
      <c r="I6" s="48"/>
      <c r="J6" s="59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3" t="s">
        <v>0</v>
      </c>
      <c r="B9" s="53"/>
      <c r="C9" s="53"/>
      <c r="D9" s="53"/>
      <c r="E9" s="53"/>
      <c r="F9" s="53"/>
      <c r="G9" s="53"/>
      <c r="H9" s="53"/>
      <c r="I9" s="53"/>
      <c r="J9" s="53"/>
      <c r="K9" s="10"/>
    </row>
    <row r="10" spans="1:48" x14ac:dyDescent="0.2">
      <c r="A10" s="6" t="s">
        <v>35</v>
      </c>
      <c r="B10" s="8"/>
      <c r="C10" s="6" t="s">
        <v>39</v>
      </c>
      <c r="D10" s="8"/>
      <c r="F10" s="6" t="s">
        <v>26</v>
      </c>
      <c r="G10" s="48"/>
      <c r="H10" s="48"/>
      <c r="I10" s="48"/>
      <c r="J10" s="4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"/>
      <c r="C12" s="6" t="s">
        <v>40</v>
      </c>
      <c r="D12" s="8"/>
      <c r="F12" s="15" t="s">
        <v>46</v>
      </c>
      <c r="G12" s="61" t="s">
        <v>27</v>
      </c>
      <c r="H12" s="63" t="s">
        <v>27</v>
      </c>
      <c r="I12" s="65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2"/>
      <c r="H13" s="64"/>
      <c r="I13" s="46"/>
      <c r="J13" s="13"/>
      <c r="K13" s="10"/>
    </row>
    <row r="14" spans="1:48" x14ac:dyDescent="0.2">
      <c r="A14" s="6" t="s">
        <v>37</v>
      </c>
      <c r="B14" s="8"/>
      <c r="C14" s="6" t="s">
        <v>41</v>
      </c>
      <c r="D14" s="8"/>
      <c r="G14" s="62" t="s">
        <v>27</v>
      </c>
      <c r="H14" s="64" t="s">
        <v>27</v>
      </c>
      <c r="I14" s="46" t="s">
        <v>27</v>
      </c>
      <c r="J14" s="13"/>
      <c r="K14" s="10"/>
    </row>
    <row r="15" spans="1:48" x14ac:dyDescent="0.2">
      <c r="A15" s="6"/>
      <c r="B15" s="2"/>
      <c r="D15" s="2"/>
      <c r="G15" s="62"/>
      <c r="H15" s="64"/>
      <c r="I15" s="46"/>
      <c r="J15" s="13"/>
      <c r="K15" s="10"/>
    </row>
    <row r="16" spans="1:48" x14ac:dyDescent="0.2">
      <c r="A16" s="6" t="s">
        <v>38</v>
      </c>
      <c r="B16" s="8"/>
      <c r="D16" s="2"/>
      <c r="G16" s="62" t="s">
        <v>27</v>
      </c>
      <c r="H16" s="64" t="s">
        <v>27</v>
      </c>
      <c r="I16" s="46" t="s">
        <v>27</v>
      </c>
      <c r="J16" s="13" t="s">
        <v>28</v>
      </c>
      <c r="K16" s="10"/>
    </row>
    <row r="17" spans="1:11" x14ac:dyDescent="0.2">
      <c r="A17" s="7"/>
      <c r="G17" s="66"/>
      <c r="H17" s="67"/>
      <c r="I17" s="47"/>
      <c r="J17" s="13"/>
      <c r="K17" s="10"/>
    </row>
    <row r="18" spans="1:11" x14ac:dyDescent="0.2">
      <c r="A18" s="44" t="s">
        <v>68</v>
      </c>
      <c r="B18" s="44"/>
      <c r="C18" s="44"/>
      <c r="D18" s="44"/>
      <c r="E18" s="44"/>
      <c r="F18" s="44"/>
      <c r="G18" s="44"/>
      <c r="H18" s="44"/>
      <c r="I18" s="44"/>
      <c r="J18" s="45"/>
      <c r="K18" s="10"/>
    </row>
    <row r="19" spans="1:11" x14ac:dyDescent="0.2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14"/>
    </row>
    <row r="20" spans="1:11" x14ac:dyDescent="0.2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14"/>
    </row>
    <row r="21" spans="1:11" ht="29" customHeight="1" x14ac:dyDescent="0.2">
      <c r="A21" s="7" t="s">
        <v>69</v>
      </c>
      <c r="B21" s="39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49"/>
      <c r="H23" s="49"/>
      <c r="I23" s="49"/>
      <c r="J23" s="49"/>
      <c r="K23" s="50"/>
    </row>
    <row r="24" spans="1:11" ht="15" thickBot="1" x14ac:dyDescent="0.25">
      <c r="A24" s="9" t="s">
        <v>51</v>
      </c>
      <c r="B24" s="17"/>
      <c r="C24" s="9" t="s">
        <v>52</v>
      </c>
      <c r="D24" s="17"/>
      <c r="E24" s="9" t="s">
        <v>53</v>
      </c>
      <c r="F24" s="17">
        <f>D24-B24</f>
        <v>0</v>
      </c>
      <c r="G24" s="51"/>
      <c r="H24" s="51"/>
      <c r="I24" s="51"/>
      <c r="J24" s="51"/>
      <c r="K24" s="52"/>
    </row>
  </sheetData>
  <mergeCells count="19"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  <mergeCell ref="A9:J9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4" t="s">
        <v>29</v>
      </c>
      <c r="B1" s="54"/>
      <c r="C1" s="54"/>
      <c r="D1" s="54"/>
      <c r="I1" t="s">
        <v>54</v>
      </c>
      <c r="J1">
        <v>15</v>
      </c>
      <c r="K1" s="10"/>
      <c r="O1" t="str">
        <f>MID(H18,1,1)</f>
        <v/>
      </c>
    </row>
    <row r="2" spans="1:15" x14ac:dyDescent="0.2">
      <c r="A2" s="54"/>
      <c r="B2" s="54"/>
      <c r="C2" s="54"/>
      <c r="D2" s="54"/>
      <c r="F2" s="4" t="s">
        <v>42</v>
      </c>
      <c r="G2" t="s">
        <v>30</v>
      </c>
      <c r="K2" s="10"/>
    </row>
    <row r="3" spans="1:15" ht="15" thickBot="1" x14ac:dyDescent="0.25">
      <c r="A3" s="55"/>
      <c r="B3" s="55"/>
      <c r="C3" s="55"/>
      <c r="D3" s="55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1">
        <f>_xlfn.XLOOKUP(db!X1,db!A:A,db!B:B,"No Existe")</f>
        <v>45186</v>
      </c>
      <c r="C4" s="82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57" t="str">
        <f>_xlfn.XLOOKUP(db!X1,db!A:A,db!C:C,"No Existe")</f>
        <v>Yajaira Herrera</v>
      </c>
      <c r="C6" s="58"/>
      <c r="D6" s="6" t="s">
        <v>59</v>
      </c>
      <c r="E6" s="57">
        <f>_xlfn.XLOOKUP(db!X1,db!A:A,db!D:D)</f>
        <v>52724902</v>
      </c>
      <c r="F6" s="57"/>
      <c r="G6" s="6" t="s">
        <v>100</v>
      </c>
      <c r="H6" s="48">
        <f>_xlfn.XLOOKUP(db!X1,db!A:A,db!E:E)</f>
        <v>3013106719</v>
      </c>
      <c r="I6" s="48"/>
      <c r="J6" s="59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_xlfn.XLOOKUP(db!X1,db!A:A,db!F:F)</f>
        <v>Samsung</v>
      </c>
      <c r="D8" s="6" t="s">
        <v>33</v>
      </c>
      <c r="E8" t="str">
        <f>_xlfn.XLOOKUP(db!X1,db!A:A,db!G:G)</f>
        <v>A11</v>
      </c>
      <c r="G8" s="6" t="s">
        <v>34</v>
      </c>
      <c r="H8" s="80">
        <f>_xlfn.XLOOKUP(db!X1,db!A:A,db!H:H)</f>
        <v>0</v>
      </c>
      <c r="I8" s="80"/>
      <c r="J8" s="80"/>
      <c r="K8" s="10"/>
    </row>
    <row r="9" spans="1:15" x14ac:dyDescent="0.2">
      <c r="A9" s="53" t="s">
        <v>0</v>
      </c>
      <c r="B9" s="53"/>
      <c r="C9" s="53"/>
      <c r="D9" s="53"/>
      <c r="E9" s="53"/>
      <c r="F9" s="53"/>
      <c r="G9" s="53"/>
      <c r="H9" s="53"/>
      <c r="I9" s="53"/>
      <c r="J9" s="53"/>
      <c r="K9" s="10"/>
    </row>
    <row r="10" spans="1:15" x14ac:dyDescent="0.2">
      <c r="A10" s="6" t="s">
        <v>35</v>
      </c>
      <c r="B10" s="27" t="str">
        <f>_xlfn.XLOOKUP(db!X1,db!A:A,db!I:I)</f>
        <v>No</v>
      </c>
      <c r="C10" s="6" t="s">
        <v>39</v>
      </c>
      <c r="D10" s="27">
        <f>_xlfn.XLOOKUP(db!X1,db!A:A,db!J:J)</f>
        <v>0</v>
      </c>
      <c r="F10" s="6" t="s">
        <v>26</v>
      </c>
      <c r="G10" s="1">
        <f>_xlfn.XLOOKUP(db!X1,db!A:A,db!K:K)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_xlfn.XLOOKUP(db!X1,db!A:A,db!L:L)</f>
        <v>0</v>
      </c>
      <c r="C12" s="6" t="s">
        <v>40</v>
      </c>
      <c r="D12" s="27">
        <f>_xlfn.XLOOKUP(db!X1,db!A:A,db!M:M)</f>
        <v>0</v>
      </c>
      <c r="F12" s="15" t="s">
        <v>46</v>
      </c>
      <c r="G12" s="77" t="str">
        <f>MID(F13,1,1)</f>
        <v>o</v>
      </c>
      <c r="H12" s="78" t="str">
        <f>MID(F13,2,1)</f>
        <v>o</v>
      </c>
      <c r="I12" s="79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_xlfn.XLOOKUP(db!X1,db!A:A,db!V:V)</f>
        <v>ooooooooo</v>
      </c>
      <c r="G13" s="69"/>
      <c r="H13" s="71"/>
      <c r="I13" s="73"/>
      <c r="J13" s="13"/>
      <c r="K13" s="10"/>
    </row>
    <row r="14" spans="1:15" x14ac:dyDescent="0.2">
      <c r="A14" s="6" t="s">
        <v>37</v>
      </c>
      <c r="B14" s="27">
        <f>_xlfn.XLOOKUP(db!X1,db!A:A,db!N:N)</f>
        <v>0</v>
      </c>
      <c r="C14" s="6" t="s">
        <v>41</v>
      </c>
      <c r="D14" s="27">
        <f>_xlfn.XLOOKUP(db!X1,db!A:A,db!O:O)</f>
        <v>0</v>
      </c>
      <c r="G14" s="69" t="str">
        <f>MID(F13,4,1)</f>
        <v>o</v>
      </c>
      <c r="H14" s="71" t="str">
        <f>MID(F13,5,1)</f>
        <v>o</v>
      </c>
      <c r="I14" s="73" t="str">
        <f>MID(F13,6,1)</f>
        <v>o</v>
      </c>
      <c r="J14" s="13"/>
      <c r="K14" s="10"/>
    </row>
    <row r="15" spans="1:15" x14ac:dyDescent="0.2">
      <c r="A15" s="6"/>
      <c r="B15" s="2"/>
      <c r="D15" s="2"/>
      <c r="G15" s="69"/>
      <c r="H15" s="71"/>
      <c r="I15" s="73"/>
      <c r="J15" s="13"/>
      <c r="K15" s="10"/>
    </row>
    <row r="16" spans="1:15" x14ac:dyDescent="0.2">
      <c r="A16" s="6" t="s">
        <v>38</v>
      </c>
      <c r="B16" s="27" t="str">
        <f>_xlfn.XLOOKUP(db!X1,db!A:A,db!P:P)</f>
        <v>Intermitente</v>
      </c>
      <c r="D16" s="2"/>
      <c r="G16" s="69" t="str">
        <f>MID(F13,7,1)</f>
        <v>o</v>
      </c>
      <c r="H16" s="71" t="str">
        <f>MID(F13,8,1)</f>
        <v>o</v>
      </c>
      <c r="I16" s="73" t="str">
        <f>MID(F13,9,1)</f>
        <v>o</v>
      </c>
      <c r="J16" s="13" t="s">
        <v>28</v>
      </c>
      <c r="K16" s="10"/>
    </row>
    <row r="17" spans="1:11" x14ac:dyDescent="0.2">
      <c r="A17" s="7"/>
      <c r="G17" s="70"/>
      <c r="H17" s="72"/>
      <c r="I17" s="74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75" t="str">
        <f>_xlfn.XLOOKUP(db!X1,db!A:A,db!Q:Q)</f>
        <v>Cambio de pantalla</v>
      </c>
      <c r="B19" s="75"/>
      <c r="C19" s="75"/>
      <c r="D19" s="75"/>
      <c r="E19" s="75"/>
      <c r="F19" s="75"/>
      <c r="G19" s="75"/>
      <c r="H19" s="75"/>
      <c r="I19" s="75"/>
      <c r="J19" s="75"/>
      <c r="K19" s="14"/>
    </row>
    <row r="20" spans="1:1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14"/>
    </row>
    <row r="21" spans="1:11" x14ac:dyDescent="0.2">
      <c r="A21" s="7" t="s">
        <v>69</v>
      </c>
      <c r="B21" s="12" t="str">
        <f>_xlfn.XLOOKUP(db!X1,db!A:A,db!R:R)</f>
        <v>sin simcard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_xlfn.XLOOKUP(db!X1,db!A:A,db!S:S)</f>
        <v>120000</v>
      </c>
      <c r="C24" s="9" t="s">
        <v>52</v>
      </c>
      <c r="D24" s="17">
        <f>_xlfn.XLOOKUP(db!X1,db!A:A,db!T:T)</f>
        <v>40000</v>
      </c>
      <c r="E24" s="9" t="s">
        <v>53</v>
      </c>
      <c r="F24" s="17">
        <f>_xlfn.XLOOKUP(db!X1,db!A:A,db!U:U)</f>
        <v>-80000</v>
      </c>
      <c r="G24" s="9"/>
      <c r="I24" s="40"/>
    </row>
    <row r="26" spans="1:11" ht="14" customHeight="1" x14ac:dyDescent="0.2">
      <c r="A26" s="76" t="str">
        <f>_xlfn.XLOOKUP(dbp!E1,dbp!A:A,dbp!C:C,"")</f>
        <v xml:space="preserve">Equipo reparado  y lito para entregar 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</row>
    <row r="27" spans="1:11" x14ac:dyDescent="0.2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</row>
    <row r="28" spans="1:11" x14ac:dyDescent="0.2">
      <c r="A28" s="6" t="s">
        <v>140</v>
      </c>
      <c r="B28" s="43">
        <f>_xlfn.XLOOKUP(dbp!E1,dbp!A:A,dbp!B:B,"")</f>
        <v>45186.662879745367</v>
      </c>
      <c r="C28" s="6" t="s">
        <v>139</v>
      </c>
      <c r="D28" s="68">
        <f>_xlfn.XLOOKUP(dbp!E1,dbp!A:A,dbp!B:B,"")</f>
        <v>45186.662879745367</v>
      </c>
      <c r="E28" s="68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J13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0" x14ac:dyDescent="0.2">
      <c r="A1" s="1" t="s">
        <v>54</v>
      </c>
      <c r="B1" s="27">
        <v>0</v>
      </c>
      <c r="H1">
        <f>B1</f>
        <v>0</v>
      </c>
      <c r="I1" s="41">
        <f ca="1">NOW()</f>
        <v>45186.824167245373</v>
      </c>
      <c r="J1">
        <f>A10</f>
        <v>0</v>
      </c>
    </row>
    <row r="3" spans="1:10" x14ac:dyDescent="0.2">
      <c r="A3" s="1" t="s">
        <v>58</v>
      </c>
      <c r="B3" s="27" t="str">
        <f>_xlfn.XLOOKUP(db!Y1,db!A:A,db!C:C,"")</f>
        <v/>
      </c>
      <c r="C3" s="42"/>
      <c r="D3" s="1" t="s">
        <v>133</v>
      </c>
      <c r="E3" s="27" t="str">
        <f>_xlfn.XLOOKUP(db!Y1,db!A:A,db!E:E,"")</f>
        <v/>
      </c>
    </row>
    <row r="5" spans="1:10" x14ac:dyDescent="0.2">
      <c r="A5" t="s">
        <v>136</v>
      </c>
      <c r="B5" s="1" t="str">
        <f>_xlfn.XLOOKUP(B1,db!A:A,db!G:G,"")</f>
        <v/>
      </c>
      <c r="C5" s="1"/>
      <c r="D5" s="1"/>
      <c r="E5" s="27"/>
    </row>
    <row r="7" spans="1:10" x14ac:dyDescent="0.2">
      <c r="A7" s="1" t="s">
        <v>135</v>
      </c>
      <c r="B7" s="1" t="str">
        <f>_xlfn.XLOOKUP(db!Y1,db!A:A,db!Q:Q,"")</f>
        <v/>
      </c>
      <c r="C7" s="27"/>
    </row>
    <row r="9" spans="1:10" x14ac:dyDescent="0.2">
      <c r="A9" s="1"/>
      <c r="B9" s="1"/>
      <c r="C9" s="1"/>
      <c r="D9" s="1"/>
      <c r="E9" s="1"/>
    </row>
    <row r="10" spans="1:10" x14ac:dyDescent="0.2">
      <c r="A10" s="83"/>
      <c r="B10" s="83"/>
      <c r="C10" s="83"/>
      <c r="D10" s="83"/>
      <c r="E10" s="84"/>
    </row>
    <row r="11" spans="1:10" x14ac:dyDescent="0.2">
      <c r="A11" s="85"/>
      <c r="B11" s="85"/>
      <c r="C11" s="85"/>
      <c r="D11" s="85"/>
      <c r="E11" s="86"/>
    </row>
    <row r="12" spans="1:10" x14ac:dyDescent="0.2">
      <c r="A12" s="85"/>
      <c r="B12" s="85"/>
      <c r="C12" s="85"/>
      <c r="D12" s="85"/>
      <c r="E12" s="86"/>
    </row>
    <row r="13" spans="1:10" x14ac:dyDescent="0.2">
      <c r="A13" s="85"/>
      <c r="B13" s="85"/>
      <c r="C13" s="85"/>
      <c r="D13" s="85"/>
      <c r="E13" s="86"/>
    </row>
  </sheetData>
  <mergeCells count="1">
    <mergeCell ref="A10:E1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2"/>
  <sheetViews>
    <sheetView showGridLines="0" workbookViewId="0">
      <selection activeCell="H29" sqref="H29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3.7968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4" t="s">
        <v>29</v>
      </c>
      <c r="B1" s="54"/>
      <c r="C1" s="54"/>
      <c r="D1" s="54"/>
      <c r="I1" t="s">
        <v>54</v>
      </c>
      <c r="J1">
        <f>Hoja1!J1</f>
        <v>17</v>
      </c>
      <c r="K1" s="10"/>
    </row>
    <row r="2" spans="1:11" ht="13" customHeight="1" x14ac:dyDescent="0.2">
      <c r="A2" s="54"/>
      <c r="B2" s="54"/>
      <c r="C2" s="54"/>
      <c r="D2" s="54"/>
      <c r="F2" s="4" t="s">
        <v>42</v>
      </c>
      <c r="G2" t="s">
        <v>30</v>
      </c>
      <c r="K2" s="10"/>
    </row>
    <row r="3" spans="1:11" ht="13" customHeight="1" thickBot="1" x14ac:dyDescent="0.25">
      <c r="A3" s="55"/>
      <c r="B3" s="55"/>
      <c r="C3" s="55"/>
      <c r="D3" s="55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0">
        <f ca="1">TODAY()</f>
        <v>45186</v>
      </c>
      <c r="C4" s="60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57">
        <f>Hoja1!B6</f>
        <v>0</v>
      </c>
      <c r="C6" s="58"/>
      <c r="D6" s="6" t="s">
        <v>59</v>
      </c>
      <c r="E6" s="57">
        <f>Hoja1!E6</f>
        <v>0</v>
      </c>
      <c r="F6" s="57"/>
      <c r="G6" s="6" t="s">
        <v>100</v>
      </c>
      <c r="H6" s="48">
        <f>Hoja1!H6</f>
        <v>0</v>
      </c>
      <c r="I6" s="48"/>
      <c r="J6" s="5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8">
        <f>Hoja1!H8</f>
        <v>0</v>
      </c>
      <c r="I8" s="80"/>
      <c r="J8" s="80"/>
      <c r="K8" s="10"/>
    </row>
    <row r="9" spans="1:11" ht="13" customHeight="1" x14ac:dyDescent="0.2">
      <c r="A9" s="53" t="s">
        <v>0</v>
      </c>
      <c r="B9" s="53"/>
      <c r="C9" s="53"/>
      <c r="D9" s="53"/>
      <c r="E9" s="53"/>
      <c r="F9" s="53"/>
      <c r="G9" s="53"/>
      <c r="H9" s="53"/>
      <c r="I9" s="53"/>
      <c r="J9" s="53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48">
        <f>Hoja1!G10</f>
        <v>0</v>
      </c>
      <c r="H10" s="48"/>
      <c r="I10" s="48"/>
      <c r="J10" s="4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77" t="str">
        <f>Hoja1!G12</f>
        <v>o</v>
      </c>
      <c r="H12" s="78" t="str">
        <f>Hoja1!H12</f>
        <v>o</v>
      </c>
      <c r="I12" s="79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69"/>
      <c r="H13" s="71"/>
      <c r="I13" s="73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69" t="str">
        <f>Hoja1!G14</f>
        <v>o</v>
      </c>
      <c r="H14" s="71" t="str">
        <f>Hoja1!H14</f>
        <v>o</v>
      </c>
      <c r="I14" s="73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69"/>
      <c r="H15" s="71"/>
      <c r="I15" s="73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69" t="str">
        <f>Hoja1!G16</f>
        <v>o</v>
      </c>
      <c r="H16" s="71" t="str">
        <f>Hoja1!H16</f>
        <v>o</v>
      </c>
      <c r="I16" s="73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0"/>
      <c r="H17" s="72"/>
      <c r="I17" s="74"/>
      <c r="J17" s="13"/>
      <c r="K17" s="10"/>
    </row>
    <row r="18" spans="1:11" ht="13" customHeight="1" x14ac:dyDescent="0.2">
      <c r="A18" s="44" t="s">
        <v>68</v>
      </c>
      <c r="B18" s="44"/>
      <c r="C18" s="44"/>
      <c r="D18" s="44"/>
      <c r="E18" s="44"/>
      <c r="F18" s="44"/>
      <c r="G18" s="44"/>
      <c r="H18" s="44"/>
      <c r="I18" s="44"/>
      <c r="J18" s="45"/>
      <c r="K18" s="10"/>
    </row>
    <row r="19" spans="1:11" ht="13" customHeight="1" x14ac:dyDescent="0.2">
      <c r="A19" s="87">
        <f>Hoja1!A19</f>
        <v>0</v>
      </c>
      <c r="B19" s="87"/>
      <c r="C19" s="87"/>
      <c r="D19" s="87"/>
      <c r="E19" s="87"/>
      <c r="F19" s="87"/>
      <c r="G19" s="87"/>
      <c r="H19" s="87"/>
      <c r="I19" s="87"/>
      <c r="J19" s="87"/>
      <c r="K19" s="14"/>
    </row>
    <row r="20" spans="1:11" ht="13" customHeight="1" x14ac:dyDescent="0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 t="s">
        <v>45</v>
      </c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49"/>
      <c r="H23" s="49"/>
      <c r="I23" s="49"/>
      <c r="J23" s="49"/>
      <c r="K23" s="50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1"/>
      <c r="H24" s="51"/>
      <c r="I24" s="51"/>
      <c r="J24" s="51"/>
      <c r="K24" s="52"/>
    </row>
    <row r="27" spans="1:11" ht="13" customHeight="1" x14ac:dyDescent="0.2">
      <c r="A27" s="34" t="s">
        <v>127</v>
      </c>
    </row>
    <row r="28" spans="1:11" ht="13" customHeight="1" x14ac:dyDescent="0.2">
      <c r="A28" s="34"/>
      <c r="H28" s="80" t="s">
        <v>58</v>
      </c>
      <c r="I28" s="80"/>
      <c r="J28" s="80"/>
      <c r="K28" s="80"/>
    </row>
    <row r="29" spans="1:11" ht="13" customHeight="1" x14ac:dyDescent="0.2">
      <c r="A29" s="54" t="s">
        <v>29</v>
      </c>
      <c r="B29" s="54"/>
      <c r="C29" s="54"/>
      <c r="D29" s="54"/>
      <c r="I29" t="s">
        <v>54</v>
      </c>
      <c r="J29">
        <f>J1</f>
        <v>17</v>
      </c>
      <c r="K29" s="10"/>
    </row>
    <row r="30" spans="1:11" ht="13" customHeight="1" x14ac:dyDescent="0.2">
      <c r="A30" s="54"/>
      <c r="B30" s="54"/>
      <c r="C30" s="54"/>
      <c r="D30" s="54"/>
      <c r="F30" s="4" t="s">
        <v>42</v>
      </c>
      <c r="G30" t="s">
        <v>30</v>
      </c>
      <c r="K30" s="10"/>
    </row>
    <row r="31" spans="1:11" ht="13" customHeight="1" thickBot="1" x14ac:dyDescent="0.25">
      <c r="A31" s="55"/>
      <c r="B31" s="55"/>
      <c r="C31" s="55"/>
      <c r="D31" s="55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0">
        <f ca="1">B4</f>
        <v>45186</v>
      </c>
      <c r="C32" s="60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57">
        <f>B6</f>
        <v>0</v>
      </c>
      <c r="C34" s="58"/>
      <c r="D34" s="6" t="s">
        <v>59</v>
      </c>
      <c r="E34" s="57">
        <f>E6</f>
        <v>0</v>
      </c>
      <c r="F34" s="57"/>
      <c r="G34" s="6" t="s">
        <v>92</v>
      </c>
      <c r="H34" s="48">
        <f>H6</f>
        <v>0</v>
      </c>
      <c r="I34" s="48"/>
      <c r="J34" s="5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3" t="s">
        <v>0</v>
      </c>
      <c r="B37" s="53"/>
      <c r="C37" s="53"/>
      <c r="D37" s="53"/>
      <c r="E37" s="53"/>
      <c r="F37" s="53"/>
      <c r="G37" s="53"/>
      <c r="H37" s="53"/>
      <c r="I37" s="53"/>
      <c r="J37" s="53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77" t="str">
        <f>G12</f>
        <v>o</v>
      </c>
      <c r="H40" s="78" t="str">
        <f>H12</f>
        <v>o</v>
      </c>
      <c r="I40" s="79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69"/>
      <c r="H41" s="71"/>
      <c r="I41" s="73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69" t="str">
        <f>G14</f>
        <v>o</v>
      </c>
      <c r="H42" s="71" t="str">
        <f>H14</f>
        <v>o</v>
      </c>
      <c r="I42" s="73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69"/>
      <c r="H43" s="71"/>
      <c r="I43" s="73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69" t="str">
        <f>G16</f>
        <v>o</v>
      </c>
      <c r="H44" s="71" t="str">
        <f>H16</f>
        <v>o</v>
      </c>
      <c r="I44" s="73" t="str">
        <f>I16</f>
        <v>o</v>
      </c>
      <c r="J44" s="13" t="s">
        <v>28</v>
      </c>
      <c r="K44" s="10"/>
    </row>
    <row r="45" spans="1:11" ht="13" customHeight="1" x14ac:dyDescent="0.2">
      <c r="A45" s="7"/>
      <c r="G45" s="70"/>
      <c r="H45" s="72"/>
      <c r="I45" s="74"/>
      <c r="J45" s="13"/>
      <c r="K45" s="10"/>
    </row>
    <row r="46" spans="1:11" ht="13" customHeight="1" x14ac:dyDescent="0.2">
      <c r="A46" s="44" t="s">
        <v>68</v>
      </c>
      <c r="B46" s="44"/>
      <c r="C46" s="44"/>
      <c r="D46" s="44"/>
      <c r="E46" s="44"/>
      <c r="F46" s="44"/>
      <c r="G46" s="44"/>
      <c r="H46" s="44"/>
      <c r="I46" s="44"/>
      <c r="J46" s="45"/>
      <c r="K46" s="10"/>
    </row>
    <row r="47" spans="1:11" ht="13" customHeight="1" x14ac:dyDescent="0.2">
      <c r="A47" s="87">
        <f>A19</f>
        <v>0</v>
      </c>
      <c r="B47" s="87"/>
      <c r="C47" s="87"/>
      <c r="D47" s="87"/>
      <c r="E47" s="87"/>
      <c r="F47" s="87"/>
      <c r="G47" s="87"/>
      <c r="H47" s="87"/>
      <c r="I47" s="87"/>
      <c r="J47" s="87"/>
      <c r="K47" s="14"/>
    </row>
    <row r="48" spans="1:11" ht="13" customHeight="1" x14ac:dyDescent="0.2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13" customHeight="1" thickBot="1" x14ac:dyDescent="0.25">
      <c r="A50" s="9" t="s">
        <v>45</v>
      </c>
      <c r="B50" s="9"/>
      <c r="C50" s="9"/>
      <c r="D50" s="9"/>
      <c r="E50" s="9"/>
      <c r="F50" s="9" t="s">
        <v>44</v>
      </c>
      <c r="G50" s="9"/>
      <c r="H50" s="9"/>
      <c r="I50" s="9"/>
      <c r="J50" s="9"/>
      <c r="K50" s="11"/>
    </row>
    <row r="51" spans="1:11" ht="13" customHeight="1" x14ac:dyDescent="0.2">
      <c r="A51" s="16"/>
      <c r="B51" s="16"/>
      <c r="C51" s="16"/>
      <c r="D51" s="16"/>
      <c r="E51" s="16"/>
      <c r="F51" s="16"/>
      <c r="G51" s="49"/>
      <c r="H51" s="49"/>
      <c r="I51" s="49"/>
      <c r="J51" s="49"/>
      <c r="K51" s="50"/>
    </row>
    <row r="52" spans="1:11" ht="13" customHeight="1" thickBot="1" x14ac:dyDescent="0.25">
      <c r="A52" s="9" t="s">
        <v>51</v>
      </c>
      <c r="B52" s="17">
        <f>B24</f>
        <v>0</v>
      </c>
      <c r="C52" s="9" t="s">
        <v>52</v>
      </c>
      <c r="D52" s="17">
        <f>D24</f>
        <v>0</v>
      </c>
      <c r="E52" s="9" t="s">
        <v>53</v>
      </c>
      <c r="F52" s="17">
        <f>D52-B52</f>
        <v>0</v>
      </c>
      <c r="G52" s="51"/>
      <c r="H52" s="51"/>
      <c r="I52" s="51"/>
      <c r="J52" s="51"/>
      <c r="K52" s="52"/>
    </row>
  </sheetData>
  <mergeCells count="39">
    <mergeCell ref="A47:J48"/>
    <mergeCell ref="G51:K52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89" t="str">
        <f>Hoja1!A1</f>
        <v>Geek Tecnology</v>
      </c>
      <c r="B1" s="89"/>
      <c r="C1" s="89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18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132</v>
      </c>
      <c r="X1">
        <f>Consulta!J1</f>
        <v>15</v>
      </c>
      <c r="Y1">
        <f>Procesos!B1</f>
        <v>0</v>
      </c>
    </row>
    <row r="2" spans="1:25" x14ac:dyDescent="0.2">
      <c r="A2">
        <v>16</v>
      </c>
      <c r="B2">
        <v>45186</v>
      </c>
      <c r="C2" t="s">
        <v>161</v>
      </c>
      <c r="D2">
        <v>1118538907</v>
      </c>
      <c r="E2">
        <v>3209141155</v>
      </c>
      <c r="F2" t="s">
        <v>56</v>
      </c>
      <c r="G2" t="s">
        <v>162</v>
      </c>
      <c r="H2">
        <v>0</v>
      </c>
      <c r="I2" t="s">
        <v>8</v>
      </c>
      <c r="J2">
        <v>0</v>
      </c>
      <c r="K2">
        <v>210809</v>
      </c>
      <c r="L2">
        <v>0</v>
      </c>
      <c r="M2">
        <v>0</v>
      </c>
      <c r="N2">
        <v>0</v>
      </c>
      <c r="O2" t="s">
        <v>14</v>
      </c>
      <c r="P2" t="s">
        <v>25</v>
      </c>
      <c r="Q2" t="s">
        <v>47</v>
      </c>
      <c r="R2" t="s">
        <v>163</v>
      </c>
      <c r="S2">
        <v>125000</v>
      </c>
      <c r="T2">
        <v>0</v>
      </c>
      <c r="U2">
        <v>-125000</v>
      </c>
      <c r="V2" t="s">
        <v>117</v>
      </c>
    </row>
    <row r="4" spans="1:25" x14ac:dyDescent="0.2">
      <c r="A4">
        <v>15</v>
      </c>
      <c r="B4">
        <v>45186</v>
      </c>
      <c r="C4" t="s">
        <v>158</v>
      </c>
      <c r="D4">
        <v>52724902</v>
      </c>
      <c r="E4">
        <v>3013106719</v>
      </c>
      <c r="F4" t="s">
        <v>75</v>
      </c>
      <c r="G4" t="s">
        <v>159</v>
      </c>
      <c r="H4">
        <v>0</v>
      </c>
      <c r="I4" t="s">
        <v>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23</v>
      </c>
      <c r="Q4" t="s">
        <v>73</v>
      </c>
      <c r="R4" t="s">
        <v>152</v>
      </c>
      <c r="S4">
        <v>120000</v>
      </c>
      <c r="T4">
        <v>40000</v>
      </c>
      <c r="U4">
        <v>-80000</v>
      </c>
      <c r="V4" t="s">
        <v>117</v>
      </c>
    </row>
    <row r="5" spans="1:25" x14ac:dyDescent="0.2">
      <c r="A5">
        <v>14</v>
      </c>
      <c r="B5">
        <v>45185</v>
      </c>
      <c r="C5" t="s">
        <v>154</v>
      </c>
      <c r="D5">
        <v>1003377494</v>
      </c>
      <c r="E5">
        <v>3209641024</v>
      </c>
      <c r="F5" t="s">
        <v>150</v>
      </c>
      <c r="G5" t="s">
        <v>155</v>
      </c>
      <c r="H5">
        <v>0</v>
      </c>
      <c r="I5" t="s">
        <v>8</v>
      </c>
      <c r="J5" t="s">
        <v>48</v>
      </c>
      <c r="K5">
        <v>1999</v>
      </c>
      <c r="L5" t="s">
        <v>48</v>
      </c>
      <c r="M5" t="s">
        <v>48</v>
      </c>
      <c r="N5" t="s">
        <v>16</v>
      </c>
      <c r="O5" t="s">
        <v>48</v>
      </c>
      <c r="P5" t="s">
        <v>25</v>
      </c>
      <c r="Q5" t="s">
        <v>156</v>
      </c>
      <c r="R5" t="s">
        <v>157</v>
      </c>
      <c r="S5">
        <v>120000</v>
      </c>
      <c r="T5">
        <v>120000</v>
      </c>
      <c r="U5">
        <v>0</v>
      </c>
      <c r="V5" t="s">
        <v>117</v>
      </c>
    </row>
    <row r="6" spans="1:25" x14ac:dyDescent="0.2">
      <c r="A6">
        <v>13</v>
      </c>
      <c r="B6">
        <v>45184</v>
      </c>
      <c r="C6" t="s">
        <v>149</v>
      </c>
      <c r="D6">
        <v>1066509408</v>
      </c>
      <c r="E6">
        <v>3229134023</v>
      </c>
      <c r="F6" t="s">
        <v>150</v>
      </c>
      <c r="G6" t="s">
        <v>151</v>
      </c>
      <c r="H6">
        <v>0</v>
      </c>
      <c r="I6" t="s">
        <v>8</v>
      </c>
      <c r="J6" t="s">
        <v>48</v>
      </c>
      <c r="K6">
        <v>2518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73</v>
      </c>
      <c r="R6" t="s">
        <v>152</v>
      </c>
      <c r="S6">
        <v>110000</v>
      </c>
      <c r="T6">
        <v>30000</v>
      </c>
      <c r="U6">
        <v>-80000</v>
      </c>
      <c r="V6" t="s">
        <v>117</v>
      </c>
    </row>
    <row r="7" spans="1:25" x14ac:dyDescent="0.2">
      <c r="A7">
        <v>12</v>
      </c>
      <c r="B7">
        <v>45184</v>
      </c>
      <c r="C7" t="s">
        <v>144</v>
      </c>
      <c r="D7">
        <v>1024580916</v>
      </c>
      <c r="E7">
        <v>3209122563</v>
      </c>
      <c r="F7" t="s">
        <v>75</v>
      </c>
      <c r="G7" t="s">
        <v>145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49</v>
      </c>
      <c r="O7" t="s">
        <v>14</v>
      </c>
      <c r="P7" t="s">
        <v>23</v>
      </c>
      <c r="Q7" t="s">
        <v>47</v>
      </c>
      <c r="R7" t="s">
        <v>146</v>
      </c>
      <c r="S7">
        <v>125000</v>
      </c>
      <c r="T7">
        <v>0</v>
      </c>
      <c r="U7">
        <v>-125000</v>
      </c>
      <c r="V7" t="s">
        <v>147</v>
      </c>
    </row>
    <row r="8" spans="1:25" x14ac:dyDescent="0.2">
      <c r="A8">
        <v>11</v>
      </c>
      <c r="B8">
        <v>45184</v>
      </c>
      <c r="C8" t="s">
        <v>129</v>
      </c>
      <c r="D8">
        <v>1124370157</v>
      </c>
      <c r="E8">
        <v>3016079202</v>
      </c>
      <c r="F8" t="s">
        <v>71</v>
      </c>
      <c r="G8" t="s">
        <v>130</v>
      </c>
      <c r="H8">
        <v>0</v>
      </c>
      <c r="I8" t="s">
        <v>8</v>
      </c>
      <c r="J8" t="s">
        <v>48</v>
      </c>
      <c r="K8">
        <v>251403</v>
      </c>
      <c r="L8" t="s">
        <v>48</v>
      </c>
      <c r="M8" t="s">
        <v>48</v>
      </c>
      <c r="N8" t="s">
        <v>18</v>
      </c>
      <c r="O8" t="s">
        <v>14</v>
      </c>
      <c r="P8" t="s">
        <v>25</v>
      </c>
      <c r="Q8" t="s">
        <v>73</v>
      </c>
      <c r="R8" t="s">
        <v>131</v>
      </c>
      <c r="S8">
        <v>125000</v>
      </c>
      <c r="T8">
        <v>0</v>
      </c>
      <c r="U8">
        <v>-125000</v>
      </c>
      <c r="V8" t="s">
        <v>117</v>
      </c>
    </row>
    <row r="9" spans="1:25" x14ac:dyDescent="0.2">
      <c r="A9">
        <v>10</v>
      </c>
      <c r="B9">
        <v>45184</v>
      </c>
      <c r="C9" t="s">
        <v>122</v>
      </c>
      <c r="D9">
        <v>606060606</v>
      </c>
      <c r="E9">
        <v>90900990</v>
      </c>
      <c r="F9" t="s">
        <v>123</v>
      </c>
      <c r="G9" t="s">
        <v>124</v>
      </c>
      <c r="H9" t="s">
        <v>125</v>
      </c>
      <c r="I9" t="s">
        <v>8</v>
      </c>
      <c r="J9" t="s">
        <v>11</v>
      </c>
      <c r="K9">
        <v>0</v>
      </c>
      <c r="L9" t="s">
        <v>13</v>
      </c>
      <c r="M9" t="s">
        <v>11</v>
      </c>
      <c r="N9" t="s">
        <v>49</v>
      </c>
      <c r="O9" t="s">
        <v>21</v>
      </c>
      <c r="P9" t="s">
        <v>24</v>
      </c>
      <c r="Q9" t="s">
        <v>126</v>
      </c>
      <c r="R9">
        <v>0</v>
      </c>
      <c r="S9">
        <v>30000</v>
      </c>
      <c r="T9">
        <v>30000</v>
      </c>
      <c r="U9">
        <v>0</v>
      </c>
      <c r="V9" t="s">
        <v>128</v>
      </c>
    </row>
    <row r="10" spans="1:25" x14ac:dyDescent="0.2">
      <c r="A10">
        <v>9</v>
      </c>
      <c r="B10">
        <v>45184</v>
      </c>
      <c r="C10" t="s">
        <v>118</v>
      </c>
      <c r="D10">
        <v>20202020</v>
      </c>
      <c r="E10">
        <v>3040340304</v>
      </c>
      <c r="F10" t="s">
        <v>56</v>
      </c>
      <c r="G10" t="s">
        <v>57</v>
      </c>
      <c r="H10" t="s">
        <v>119</v>
      </c>
      <c r="I10" t="s">
        <v>8</v>
      </c>
      <c r="J10" t="s">
        <v>10</v>
      </c>
      <c r="K10">
        <v>0</v>
      </c>
      <c r="L10" t="s">
        <v>48</v>
      </c>
      <c r="M10" t="s">
        <v>10</v>
      </c>
      <c r="N10" t="s">
        <v>49</v>
      </c>
      <c r="O10" t="s">
        <v>14</v>
      </c>
      <c r="P10" t="s">
        <v>24</v>
      </c>
      <c r="Q10" t="s">
        <v>109</v>
      </c>
      <c r="R10" t="s">
        <v>120</v>
      </c>
      <c r="S10">
        <v>0</v>
      </c>
      <c r="T10">
        <v>0</v>
      </c>
      <c r="U10">
        <v>0</v>
      </c>
      <c r="V10" t="s">
        <v>121</v>
      </c>
    </row>
    <row r="11" spans="1:25" x14ac:dyDescent="0.2">
      <c r="A11">
        <v>8</v>
      </c>
      <c r="B11">
        <v>45184</v>
      </c>
      <c r="C11" t="s">
        <v>111</v>
      </c>
      <c r="D11">
        <v>346587</v>
      </c>
      <c r="E11">
        <v>308907060</v>
      </c>
      <c r="F11" t="s">
        <v>112</v>
      </c>
      <c r="G11" t="s">
        <v>113</v>
      </c>
      <c r="H11" t="s">
        <v>114</v>
      </c>
      <c r="I11" t="s">
        <v>8</v>
      </c>
      <c r="J11" t="s">
        <v>11</v>
      </c>
      <c r="K11">
        <v>0</v>
      </c>
      <c r="L11" t="s">
        <v>14</v>
      </c>
      <c r="M11" t="s">
        <v>10</v>
      </c>
      <c r="N11" t="s">
        <v>50</v>
      </c>
      <c r="O11" t="s">
        <v>14</v>
      </c>
      <c r="P11" t="s">
        <v>25</v>
      </c>
      <c r="Q11" t="s">
        <v>115</v>
      </c>
      <c r="R11" t="s">
        <v>116</v>
      </c>
      <c r="S11">
        <v>180000</v>
      </c>
      <c r="T11">
        <v>80000</v>
      </c>
      <c r="U11">
        <v>-100000</v>
      </c>
      <c r="V11" t="s">
        <v>117</v>
      </c>
    </row>
    <row r="12" spans="1:25" x14ac:dyDescent="0.2">
      <c r="A12">
        <v>7</v>
      </c>
      <c r="B12">
        <v>45184</v>
      </c>
      <c r="C12" t="s">
        <v>105</v>
      </c>
      <c r="D12">
        <v>907068</v>
      </c>
      <c r="E12">
        <v>3224156755</v>
      </c>
      <c r="F12" t="s">
        <v>107</v>
      </c>
      <c r="G12" t="s">
        <v>106</v>
      </c>
      <c r="H12" t="s">
        <v>108</v>
      </c>
      <c r="I12" t="s">
        <v>8</v>
      </c>
      <c r="J12" t="s">
        <v>48</v>
      </c>
      <c r="K12">
        <v>0</v>
      </c>
      <c r="L12" t="s">
        <v>48</v>
      </c>
      <c r="M12" t="s">
        <v>10</v>
      </c>
      <c r="N12" t="s">
        <v>49</v>
      </c>
      <c r="O12" t="s">
        <v>14</v>
      </c>
      <c r="P12" t="s">
        <v>23</v>
      </c>
      <c r="Q12" t="s">
        <v>109</v>
      </c>
      <c r="R12" t="s">
        <v>110</v>
      </c>
      <c r="S12">
        <v>350000</v>
      </c>
      <c r="T12">
        <v>300000</v>
      </c>
      <c r="U12">
        <v>-50000</v>
      </c>
      <c r="V12">
        <v>0</v>
      </c>
    </row>
    <row r="13" spans="1:25" x14ac:dyDescent="0.2">
      <c r="A13">
        <v>6</v>
      </c>
      <c r="B13">
        <v>45184</v>
      </c>
      <c r="C13" t="s">
        <v>99</v>
      </c>
      <c r="D13">
        <v>80677812</v>
      </c>
      <c r="E13">
        <v>3046313114</v>
      </c>
      <c r="F13" t="s">
        <v>75</v>
      </c>
      <c r="G13" t="s">
        <v>101</v>
      </c>
      <c r="H13" t="s">
        <v>102</v>
      </c>
      <c r="I13" t="s">
        <v>8</v>
      </c>
      <c r="J13" t="s">
        <v>10</v>
      </c>
      <c r="K13">
        <v>0</v>
      </c>
      <c r="L13" t="s">
        <v>14</v>
      </c>
      <c r="M13" t="s">
        <v>10</v>
      </c>
      <c r="N13" t="s">
        <v>50</v>
      </c>
      <c r="O13" t="s">
        <v>14</v>
      </c>
      <c r="P13" t="s">
        <v>25</v>
      </c>
      <c r="Q13" t="s">
        <v>103</v>
      </c>
      <c r="R13" t="s">
        <v>104</v>
      </c>
      <c r="S13">
        <v>30000</v>
      </c>
      <c r="T13">
        <v>15000</v>
      </c>
      <c r="U13">
        <v>-15000</v>
      </c>
      <c r="V13" t="s">
        <v>89</v>
      </c>
    </row>
    <row r="14" spans="1:25" x14ac:dyDescent="0.2">
      <c r="A14">
        <v>5</v>
      </c>
      <c r="B14">
        <v>45184</v>
      </c>
      <c r="C14" t="s">
        <v>87</v>
      </c>
      <c r="D14">
        <v>80577811</v>
      </c>
      <c r="E14">
        <v>3046313114</v>
      </c>
      <c r="F14" t="s">
        <v>94</v>
      </c>
      <c r="G14" t="s">
        <v>95</v>
      </c>
      <c r="H14" t="s">
        <v>96</v>
      </c>
      <c r="I14" t="s">
        <v>8</v>
      </c>
      <c r="J14" t="s">
        <v>10</v>
      </c>
      <c r="K14">
        <v>908070</v>
      </c>
      <c r="L14" t="s">
        <v>14</v>
      </c>
      <c r="M14" t="s">
        <v>10</v>
      </c>
      <c r="N14" t="s">
        <v>50</v>
      </c>
      <c r="O14" t="s">
        <v>14</v>
      </c>
      <c r="P14" t="s">
        <v>25</v>
      </c>
      <c r="Q14" t="s">
        <v>97</v>
      </c>
      <c r="R14" t="s">
        <v>98</v>
      </c>
      <c r="S14">
        <v>20000</v>
      </c>
      <c r="T14">
        <v>20000</v>
      </c>
      <c r="U14">
        <v>0</v>
      </c>
      <c r="V14" t="s">
        <v>89</v>
      </c>
    </row>
    <row r="15" spans="1:25" x14ac:dyDescent="0.2">
      <c r="A15">
        <v>4</v>
      </c>
      <c r="B15">
        <v>45180</v>
      </c>
      <c r="C15" t="s">
        <v>87</v>
      </c>
      <c r="D15">
        <v>80577811</v>
      </c>
      <c r="E15">
        <v>30346313114</v>
      </c>
      <c r="F15">
        <v>0</v>
      </c>
      <c r="G15">
        <v>0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47</v>
      </c>
      <c r="R15" t="s">
        <v>88</v>
      </c>
      <c r="S15">
        <v>800000</v>
      </c>
      <c r="T15">
        <v>800000</v>
      </c>
      <c r="U15">
        <v>0</v>
      </c>
      <c r="V15" t="s">
        <v>89</v>
      </c>
    </row>
    <row r="16" spans="1:25" x14ac:dyDescent="0.2">
      <c r="A16">
        <v>3</v>
      </c>
      <c r="B16">
        <v>45180</v>
      </c>
      <c r="C16" t="s">
        <v>80</v>
      </c>
      <c r="D16">
        <v>6235612</v>
      </c>
      <c r="E16">
        <v>32364561253</v>
      </c>
      <c r="F16" t="s">
        <v>75</v>
      </c>
      <c r="G16" t="s">
        <v>81</v>
      </c>
      <c r="H16" t="s">
        <v>82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49</v>
      </c>
      <c r="O16" t="s">
        <v>14</v>
      </c>
      <c r="P16" t="s">
        <v>25</v>
      </c>
      <c r="Q16" t="s">
        <v>73</v>
      </c>
      <c r="R16" t="s">
        <v>83</v>
      </c>
      <c r="S16">
        <v>1500000</v>
      </c>
      <c r="T16">
        <v>1000000</v>
      </c>
      <c r="U16">
        <v>-500000</v>
      </c>
      <c r="V16">
        <v>123456789</v>
      </c>
    </row>
    <row r="17" spans="1:22" x14ac:dyDescent="0.2">
      <c r="A17">
        <v>2</v>
      </c>
      <c r="B17">
        <v>45180</v>
      </c>
      <c r="C17" t="s">
        <v>78</v>
      </c>
      <c r="D17">
        <v>8127643</v>
      </c>
      <c r="E17">
        <v>687523</v>
      </c>
      <c r="F17" t="s">
        <v>56</v>
      </c>
      <c r="G17" t="s">
        <v>57</v>
      </c>
      <c r="H17" t="s">
        <v>79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73</v>
      </c>
      <c r="R17" t="s">
        <v>74</v>
      </c>
      <c r="S17">
        <v>150000</v>
      </c>
      <c r="T17">
        <v>100000</v>
      </c>
      <c r="U17">
        <v>-50000</v>
      </c>
      <c r="V17" t="s">
        <v>85</v>
      </c>
    </row>
    <row r="18" spans="1:22" x14ac:dyDescent="0.2">
      <c r="A18">
        <v>1</v>
      </c>
      <c r="B18">
        <v>45180</v>
      </c>
      <c r="C18" t="s">
        <v>76</v>
      </c>
      <c r="D18">
        <v>46918236</v>
      </c>
      <c r="E18">
        <v>8613489612</v>
      </c>
      <c r="F18" t="s">
        <v>71</v>
      </c>
      <c r="G18" t="s">
        <v>72</v>
      </c>
      <c r="H18" t="s">
        <v>77</v>
      </c>
      <c r="I18" t="s">
        <v>8</v>
      </c>
      <c r="J18" t="s">
        <v>10</v>
      </c>
      <c r="K18">
        <v>0</v>
      </c>
      <c r="L18" t="s">
        <v>14</v>
      </c>
      <c r="M18" t="s">
        <v>48</v>
      </c>
      <c r="N18" t="s">
        <v>16</v>
      </c>
      <c r="O18" t="s">
        <v>14</v>
      </c>
      <c r="P18" t="s">
        <v>25</v>
      </c>
      <c r="Q18" t="s">
        <v>73</v>
      </c>
      <c r="R18" t="s">
        <v>74</v>
      </c>
      <c r="S18">
        <v>120000</v>
      </c>
      <c r="T18">
        <v>120000</v>
      </c>
      <c r="U18">
        <v>0</v>
      </c>
      <c r="V18" t="s">
        <v>86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1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2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E1">
        <f>Consulta!J1</f>
        <v>15</v>
      </c>
    </row>
    <row r="2" spans="1:5" x14ac:dyDescent="0.2">
      <c r="A2">
        <v>15</v>
      </c>
      <c r="B2" s="41">
        <v>45186.662879745367</v>
      </c>
      <c r="C2" t="s">
        <v>160</v>
      </c>
    </row>
    <row r="3" spans="1:5" x14ac:dyDescent="0.2">
      <c r="A3">
        <v>13</v>
      </c>
      <c r="B3" s="41">
        <v>45184.89964236111</v>
      </c>
      <c r="C3" t="s">
        <v>153</v>
      </c>
    </row>
    <row r="4" spans="1:5" x14ac:dyDescent="0.2">
      <c r="A4">
        <v>12</v>
      </c>
      <c r="B4" s="41">
        <v>45184.810916319446</v>
      </c>
      <c r="C4" t="s">
        <v>148</v>
      </c>
    </row>
    <row r="5" spans="1:5" x14ac:dyDescent="0.2">
      <c r="A5">
        <v>1</v>
      </c>
      <c r="B5" s="41">
        <v>45184.672752777777</v>
      </c>
      <c r="C5" t="s">
        <v>143</v>
      </c>
    </row>
    <row r="6" spans="1:5" x14ac:dyDescent="0.2">
      <c r="A6">
        <v>10</v>
      </c>
      <c r="B6" s="41">
        <v>45184.671338888889</v>
      </c>
      <c r="C6" t="s">
        <v>142</v>
      </c>
    </row>
    <row r="7" spans="1:5" x14ac:dyDescent="0.2">
      <c r="A7">
        <v>10</v>
      </c>
      <c r="B7" s="41">
        <v>45184.669659375002</v>
      </c>
      <c r="C7" t="s">
        <v>141</v>
      </c>
    </row>
    <row r="8" spans="1:5" x14ac:dyDescent="0.2">
      <c r="A8">
        <v>11</v>
      </c>
      <c r="B8" s="41">
        <v>45184.668373148146</v>
      </c>
      <c r="C8" t="s">
        <v>138</v>
      </c>
    </row>
    <row r="9" spans="1:5" x14ac:dyDescent="0.2">
      <c r="A9">
        <v>11</v>
      </c>
      <c r="B9" s="41">
        <v>45184.666117245368</v>
      </c>
      <c r="C9" t="s">
        <v>137</v>
      </c>
    </row>
    <row r="10" spans="1:5" x14ac:dyDescent="0.2">
      <c r="A10">
        <v>11</v>
      </c>
      <c r="B10" s="41">
        <v>45184.661205092591</v>
      </c>
      <c r="C10" t="s">
        <v>134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2023-09-18T00:37:19Z</cp:lastPrinted>
  <dcterms:created xsi:type="dcterms:W3CDTF">2023-09-09T14:17:02Z</dcterms:created>
  <dcterms:modified xsi:type="dcterms:W3CDTF">2023-09-18T02:24:59Z</dcterms:modified>
</cp:coreProperties>
</file>