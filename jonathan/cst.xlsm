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3.xml" ContentType="application/vnd.openxmlformats-officedocument.drawing+xml"/>
  <Override PartName="/xl/slicers/slicer1.xml" ContentType="application/vnd.ms-excel.slicer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0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rmandolizarazo/Desktop/gtech/gtech/jonathan/"/>
    </mc:Choice>
  </mc:AlternateContent>
  <xr:revisionPtr revIDLastSave="0" documentId="13_ncr:1_{55FDE014-595E-324F-BE4B-C8C118D4B1EC}" xr6:coauthVersionLast="47" xr6:coauthVersionMax="47" xr10:uidLastSave="{00000000-0000-0000-0000-000000000000}"/>
  <bookViews>
    <workbookView xWindow="0" yWindow="500" windowWidth="33600" windowHeight="19360" activeTab="1" xr2:uid="{8F0C4B2A-AECF-0B49-B60C-029112DCF88B}"/>
  </bookViews>
  <sheets>
    <sheet name="Hoja1" sheetId="1" r:id="rId1"/>
    <sheet name="Consulta" sheetId="5" r:id="rId2"/>
    <sheet name="Procesos" sheetId="9" r:id="rId3"/>
    <sheet name="Print" sheetId="8" r:id="rId4"/>
    <sheet name="IMP" sheetId="6" r:id="rId5"/>
    <sheet name="dbo" sheetId="2" state="hidden" r:id="rId6"/>
    <sheet name="db" sheetId="4" r:id="rId7"/>
    <sheet name="dbp" sheetId="10" r:id="rId8"/>
    <sheet name="inventario" sheetId="11" r:id="rId9"/>
  </sheets>
  <definedNames>
    <definedName name="Altavoz" localSheetId="1">Timbres[Altavoz]</definedName>
    <definedName name="Altavoz" localSheetId="3">Timbres[Altavoz]</definedName>
    <definedName name="Altavoz">Timbres[Altavoz]</definedName>
    <definedName name="Auricular" localSheetId="1">Auriculares[Auricular]</definedName>
    <definedName name="Auricular" localSheetId="3">Auriculares[Auricular]</definedName>
    <definedName name="Auricular">Auriculares[Auricular]</definedName>
    <definedName name="Bateria" localSheetId="1">Pila[Bateria]</definedName>
    <definedName name="Bateria" localSheetId="3">Pila[Bateria]</definedName>
    <definedName name="Bateria">Pila[Bateria]</definedName>
    <definedName name="Enciende" localSheetId="1">Encendido[Enciende]</definedName>
    <definedName name="Enciende" localSheetId="3">Encendido[Enciende]</definedName>
    <definedName name="Enciende">Encendido[Enciende]</definedName>
    <definedName name="Pantalla" localSheetId="1">Display[Pantalla]</definedName>
    <definedName name="Pantalla" localSheetId="3">Display[Pantalla]</definedName>
    <definedName name="Pantalla">Display[Pantalla]</definedName>
    <definedName name="SegmentaciónDeDatos_Estado">#N/A</definedName>
    <definedName name="Señal" localSheetId="1">Señales[Señal]</definedName>
    <definedName name="Señal" localSheetId="3">Señales[Señal]</definedName>
    <definedName name="Señal">Señales[Señal]</definedName>
    <definedName name="SistCarga" localSheetId="1">Logica[Sist Carga]</definedName>
    <definedName name="SistCarga" localSheetId="3">Logica[Sist Carga]</definedName>
    <definedName name="SistCarga">Logica[Sist Carga]</definedName>
  </definedNames>
  <calcPr calcId="191029"/>
  <pivotCaches>
    <pivotCache cacheId="263" r:id="rId10"/>
  </pivotCaches>
  <extLst>
    <ext xmlns:x14="http://schemas.microsoft.com/office/spreadsheetml/2009/9/main" uri="{BBE1A952-AA13-448e-AADC-164F8A28A991}">
      <x14:slicerCaches>
        <x14:slicerCache r:id="rId11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2" i="4" l="1"/>
  <c r="W3" i="4"/>
  <c r="W4" i="4"/>
  <c r="W7" i="4" l="1"/>
  <c r="K1" i="9"/>
  <c r="B5" i="9"/>
  <c r="E1" i="10"/>
  <c r="Y1" i="4"/>
  <c r="B7" i="9" s="1"/>
  <c r="I1" i="9"/>
  <c r="J1" i="9"/>
  <c r="H1" i="9"/>
  <c r="W22" i="4" l="1"/>
  <c r="I24" i="5" s="1"/>
  <c r="W14" i="4"/>
  <c r="W10" i="4"/>
  <c r="W13" i="4"/>
  <c r="W21" i="4"/>
  <c r="W17" i="4"/>
  <c r="W9" i="4"/>
  <c r="W20" i="4"/>
  <c r="W16" i="4"/>
  <c r="W12" i="4"/>
  <c r="W8" i="4"/>
  <c r="W5" i="4"/>
  <c r="W18" i="4"/>
  <c r="W6" i="4"/>
  <c r="W19" i="4"/>
  <c r="W15" i="4"/>
  <c r="W11" i="4"/>
  <c r="A26" i="5"/>
  <c r="B28" i="5"/>
  <c r="D28" i="5"/>
  <c r="E3" i="9"/>
  <c r="B3" i="9"/>
  <c r="F13" i="1" l="1"/>
  <c r="AV2" i="1" s="1"/>
  <c r="H8" i="8"/>
  <c r="H36" i="8" s="1"/>
  <c r="D24" i="8"/>
  <c r="D54" i="8" s="1"/>
  <c r="B24" i="8"/>
  <c r="B54" i="8" s="1"/>
  <c r="B21" i="8"/>
  <c r="B49" i="8" s="1"/>
  <c r="A19" i="8"/>
  <c r="A47" i="8" s="1"/>
  <c r="B16" i="8"/>
  <c r="B44" i="8" s="1"/>
  <c r="D14" i="8"/>
  <c r="D42" i="8" s="1"/>
  <c r="B14" i="8"/>
  <c r="B42" i="8" s="1"/>
  <c r="I16" i="8"/>
  <c r="I44" i="8" s="1"/>
  <c r="I14" i="8"/>
  <c r="I42" i="8" s="1"/>
  <c r="H16" i="8"/>
  <c r="H44" i="8" s="1"/>
  <c r="H14" i="8"/>
  <c r="H42" i="8" s="1"/>
  <c r="G16" i="8"/>
  <c r="G44" i="8" s="1"/>
  <c r="G14" i="8"/>
  <c r="G42" i="8" s="1"/>
  <c r="I12" i="8"/>
  <c r="I40" i="8" s="1"/>
  <c r="H12" i="8"/>
  <c r="H40" i="8" s="1"/>
  <c r="G12" i="8"/>
  <c r="G40" i="8" s="1"/>
  <c r="D12" i="8"/>
  <c r="D40" i="8" s="1"/>
  <c r="B12" i="8"/>
  <c r="B40" i="8" s="1"/>
  <c r="G10" i="8"/>
  <c r="G38" i="8" s="1"/>
  <c r="D10" i="8"/>
  <c r="D38" i="8" s="1"/>
  <c r="B10" i="8"/>
  <c r="B38" i="8" s="1"/>
  <c r="E8" i="8"/>
  <c r="E36" i="8" s="1"/>
  <c r="B8" i="8"/>
  <c r="B36" i="8" s="1"/>
  <c r="H6" i="8"/>
  <c r="H34" i="8" s="1"/>
  <c r="E6" i="8"/>
  <c r="E34" i="8" s="1"/>
  <c r="B6" i="8"/>
  <c r="B4" i="8"/>
  <c r="B32" i="8" s="1"/>
  <c r="C10" i="6"/>
  <c r="C9" i="6"/>
  <c r="C7" i="6"/>
  <c r="C6" i="6"/>
  <c r="C5" i="6"/>
  <c r="A2" i="6"/>
  <c r="C2" i="6"/>
  <c r="A1" i="6"/>
  <c r="O1" i="5"/>
  <c r="X1" i="4"/>
  <c r="B4" i="1"/>
  <c r="AB2" i="1" s="1"/>
  <c r="J1" i="1"/>
  <c r="AA2" i="1" s="1"/>
  <c r="AT2" i="1"/>
  <c r="AS2" i="1"/>
  <c r="AR2" i="1"/>
  <c r="AQ2" i="1"/>
  <c r="AP2" i="1"/>
  <c r="AO2" i="1"/>
  <c r="AN2" i="1"/>
  <c r="AM2" i="1"/>
  <c r="AL2" i="1"/>
  <c r="AK2" i="1"/>
  <c r="AJ2" i="1"/>
  <c r="AI2" i="1"/>
  <c r="AH2" i="1"/>
  <c r="AG2" i="1"/>
  <c r="AF2" i="1"/>
  <c r="AE2" i="1"/>
  <c r="AD2" i="1"/>
  <c r="AC2" i="1"/>
  <c r="F24" i="1"/>
  <c r="AU2" i="1" s="1"/>
  <c r="B34" i="8" l="1"/>
  <c r="A52" i="8"/>
  <c r="B21" i="5"/>
  <c r="D14" i="5"/>
  <c r="G10" i="5"/>
  <c r="E8" i="5"/>
  <c r="D10" i="5"/>
  <c r="F24" i="5"/>
  <c r="D24" i="5"/>
  <c r="B16" i="5"/>
  <c r="D12" i="5"/>
  <c r="B10" i="5"/>
  <c r="E6" i="5"/>
  <c r="B4" i="5"/>
  <c r="A19" i="5"/>
  <c r="H6" i="5"/>
  <c r="B24" i="5"/>
  <c r="F13" i="5"/>
  <c r="I12" i="5" s="1"/>
  <c r="B12" i="5"/>
  <c r="H8" i="5"/>
  <c r="B8" i="5"/>
  <c r="B14" i="5"/>
  <c r="B6" i="5"/>
  <c r="J1" i="8"/>
  <c r="J29" i="8" s="1"/>
  <c r="F24" i="8"/>
  <c r="F54" i="8"/>
  <c r="H16" i="5" l="1"/>
  <c r="G14" i="5"/>
  <c r="H14" i="5"/>
  <c r="G16" i="5"/>
  <c r="G12" i="5"/>
  <c r="I16" i="5"/>
  <c r="H12" i="5"/>
  <c r="I14" i="5"/>
</calcChain>
</file>

<file path=xl/sharedStrings.xml><?xml version="1.0" encoding="utf-8"?>
<sst xmlns="http://schemas.openxmlformats.org/spreadsheetml/2006/main" count="584" uniqueCount="196">
  <si>
    <t>Valoracion</t>
  </si>
  <si>
    <t>Enciende</t>
  </si>
  <si>
    <t>Señal</t>
  </si>
  <si>
    <t>Pantalla</t>
  </si>
  <si>
    <t>Sist Carga</t>
  </si>
  <si>
    <t>Auricular</t>
  </si>
  <si>
    <t>Altavoz</t>
  </si>
  <si>
    <t>Bateria</t>
  </si>
  <si>
    <t>Si</t>
  </si>
  <si>
    <t>No</t>
  </si>
  <si>
    <t>Se Oye</t>
  </si>
  <si>
    <t>No se Oye</t>
  </si>
  <si>
    <t>Nula</t>
  </si>
  <si>
    <t>Baja</t>
  </si>
  <si>
    <t>Optima</t>
  </si>
  <si>
    <t>Fisurada</t>
  </si>
  <si>
    <t>Manchada</t>
  </si>
  <si>
    <t>Rayada</t>
  </si>
  <si>
    <t>Falla Tactil</t>
  </si>
  <si>
    <t>Sin Consumo</t>
  </si>
  <si>
    <t>No dura carga</t>
  </si>
  <si>
    <t>No carga</t>
  </si>
  <si>
    <t>Falla Temperatura</t>
  </si>
  <si>
    <t>Intermitente</t>
  </si>
  <si>
    <t>Averiado</t>
  </si>
  <si>
    <t>Optimo</t>
  </si>
  <si>
    <t>Pin/Contraseña:</t>
  </si>
  <si>
    <t>o</t>
  </si>
  <si>
    <t xml:space="preserve"> </t>
  </si>
  <si>
    <t>Geek Tecnology</t>
  </si>
  <si>
    <t>80577811-4</t>
  </si>
  <si>
    <t>304 631 3114</t>
  </si>
  <si>
    <t>Marca:</t>
  </si>
  <si>
    <t>Modelo:</t>
  </si>
  <si>
    <t>Imei:</t>
  </si>
  <si>
    <t>Enciende:</t>
  </si>
  <si>
    <t>Señal:</t>
  </si>
  <si>
    <t>Pantalla:</t>
  </si>
  <si>
    <t>Sist Carga:</t>
  </si>
  <si>
    <t>Auricular:</t>
  </si>
  <si>
    <t>Altavoz:</t>
  </si>
  <si>
    <t>Bateria:</t>
  </si>
  <si>
    <t>Nit:</t>
  </si>
  <si>
    <t>Celular:</t>
  </si>
  <si>
    <t>FRIMA Tecnico:</t>
  </si>
  <si>
    <t>FIRMA Cliente:</t>
  </si>
  <si>
    <t>Patron:</t>
  </si>
  <si>
    <t>Cambio de Pantalla</t>
  </si>
  <si>
    <t>SR</t>
  </si>
  <si>
    <t>No Prende</t>
  </si>
  <si>
    <t>Ok</t>
  </si>
  <si>
    <t>Total</t>
  </si>
  <si>
    <t>Abono</t>
  </si>
  <si>
    <t>Saldo</t>
  </si>
  <si>
    <t>Orden</t>
  </si>
  <si>
    <t>Fecha</t>
  </si>
  <si>
    <t>Oppo</t>
  </si>
  <si>
    <t>A54</t>
  </si>
  <si>
    <t>Cliente</t>
  </si>
  <si>
    <t>Doc</t>
  </si>
  <si>
    <t>Documento</t>
  </si>
  <si>
    <t>Telefono</t>
  </si>
  <si>
    <t>Marca</t>
  </si>
  <si>
    <t>Modelo</t>
  </si>
  <si>
    <t>Imei</t>
  </si>
  <si>
    <t>Pin/contraseña</t>
  </si>
  <si>
    <t>SistCarga</t>
  </si>
  <si>
    <t>Proceso</t>
  </si>
  <si>
    <t>Proceso:</t>
  </si>
  <si>
    <t>Detalles:</t>
  </si>
  <si>
    <t>Detalles</t>
  </si>
  <si>
    <t>Xiaomi</t>
  </si>
  <si>
    <t>Redmi 10</t>
  </si>
  <si>
    <t>Cambio de pantalla</t>
  </si>
  <si>
    <t>sin sim ni forro</t>
  </si>
  <si>
    <t>Samsung</t>
  </si>
  <si>
    <t>Samuel Perez</t>
  </si>
  <si>
    <t>no registra</t>
  </si>
  <si>
    <t>jose matias</t>
  </si>
  <si>
    <t>u163458681936</t>
  </si>
  <si>
    <t>rordrigo rodriguez</t>
  </si>
  <si>
    <t>S23 FE</t>
  </si>
  <si>
    <t>y354672573</t>
  </si>
  <si>
    <t xml:space="preserve">Sin sim ni forro </t>
  </si>
  <si>
    <t>Patron</t>
  </si>
  <si>
    <t>123o4o567</t>
  </si>
  <si>
    <t>321498567</t>
  </si>
  <si>
    <t>Armando Lizarazo</t>
  </si>
  <si>
    <t>Sin Sim ni Forro</t>
  </si>
  <si>
    <t>18o276345</t>
  </si>
  <si>
    <t>-</t>
  </si>
  <si>
    <t>ID</t>
  </si>
  <si>
    <t>Cel</t>
  </si>
  <si>
    <t>=============================</t>
  </si>
  <si>
    <t>Apple</t>
  </si>
  <si>
    <t>iPhone XR</t>
  </si>
  <si>
    <t>123456789123</t>
  </si>
  <si>
    <t>Limpieza General</t>
  </si>
  <si>
    <t>sim sim ni forr</t>
  </si>
  <si>
    <t>Luis Ramirez</t>
  </si>
  <si>
    <t>CEL</t>
  </si>
  <si>
    <t>S9+</t>
  </si>
  <si>
    <t>987654326756432</t>
  </si>
  <si>
    <t>Limpieza auricular</t>
  </si>
  <si>
    <t>Sin forro ni simcard</t>
  </si>
  <si>
    <t>Carlos Chavez</t>
  </si>
  <si>
    <t>Y20i</t>
  </si>
  <si>
    <t>Vivo</t>
  </si>
  <si>
    <t>657865434578654</t>
  </si>
  <si>
    <t>Cambio de pantalla y logica de carga</t>
  </si>
  <si>
    <t>Sim simcard ni memoria ni forro</t>
  </si>
  <si>
    <t>Carlos Ramirez</t>
  </si>
  <si>
    <t>apple</t>
  </si>
  <si>
    <t>iphone 12</t>
  </si>
  <si>
    <t>435678765432345</t>
  </si>
  <si>
    <t>Reemplazar Auricular</t>
  </si>
  <si>
    <t>Sim forro ni simcard</t>
  </si>
  <si>
    <t>ooooooooo</t>
  </si>
  <si>
    <t>Orlando Cardona</t>
  </si>
  <si>
    <t>123456789098765</t>
  </si>
  <si>
    <t>Deja solo el telefono</t>
  </si>
  <si>
    <t>123894765</t>
  </si>
  <si>
    <t>Diego Naranjo</t>
  </si>
  <si>
    <t>Huawei</t>
  </si>
  <si>
    <t>Y9 Prime</t>
  </si>
  <si>
    <t>909089897867564</t>
  </si>
  <si>
    <t>Control de Humedad</t>
  </si>
  <si>
    <t>123o4oo5o</t>
  </si>
  <si>
    <t>Ronny Pacheco</t>
  </si>
  <si>
    <t>Note 11</t>
  </si>
  <si>
    <t>Sin Simcard ni forro</t>
  </si>
  <si>
    <t>Estado</t>
  </si>
  <si>
    <t>Celular</t>
  </si>
  <si>
    <t>Equipo Reparado y listo para entregar</t>
  </si>
  <si>
    <t>Trabajo</t>
  </si>
  <si>
    <t>Equipo</t>
  </si>
  <si>
    <t>En espera desde hace mas de media hora</t>
  </si>
  <si>
    <t>El cliente quedo de pasar en la noche…</t>
  </si>
  <si>
    <t>HORA:</t>
  </si>
  <si>
    <t>FECHA:</t>
  </si>
  <si>
    <t xml:space="preserve">El man no contesta </t>
  </si>
  <si>
    <t xml:space="preserve">Por fin contesto y dijo que pasaba despues </t>
  </si>
  <si>
    <t>Se repara el equipo el cliente lo recoje y paga el saldo pendiente</t>
  </si>
  <si>
    <t>Miguel Perez</t>
  </si>
  <si>
    <t>A31</t>
  </si>
  <si>
    <t>Sin sim ni forro -- Queda sin Sensor de huella</t>
  </si>
  <si>
    <t>6o3o241o5</t>
  </si>
  <si>
    <t>El telefono esta reparado y listo para entregarse pero El cliente no recuerda el patron de bloqueo va a pasar con el hermando para desbloquearlo</t>
  </si>
  <si>
    <t>Abel Isaac</t>
  </si>
  <si>
    <t>Motorola</t>
  </si>
  <si>
    <t>Moto G20</t>
  </si>
  <si>
    <t>sin simcard ni forro</t>
  </si>
  <si>
    <t>Reparado y listo para entregar</t>
  </si>
  <si>
    <t>Kener Jaramillo</t>
  </si>
  <si>
    <t>E20</t>
  </si>
  <si>
    <t>CAMBIO DE PANTALLA</t>
  </si>
  <si>
    <t>SIN SIM NI FORRO</t>
  </si>
  <si>
    <t>Yajaira Herrera</t>
  </si>
  <si>
    <t>A11</t>
  </si>
  <si>
    <t xml:space="preserve">Equipo reparado  y lito para entregar </t>
  </si>
  <si>
    <t>Alexander Sierra</t>
  </si>
  <si>
    <t>A16</t>
  </si>
  <si>
    <t>Visor camara rayado Sin Forro ni simcard ni memoria</t>
  </si>
  <si>
    <t>Equipo Reparado y listo para entregar al cliente</t>
  </si>
  <si>
    <t>Equipo entregado al cliente paga el total en efectivo</t>
  </si>
  <si>
    <t>Yoleidis Leon</t>
  </si>
  <si>
    <t>LG</t>
  </si>
  <si>
    <t>K42s</t>
  </si>
  <si>
    <t>356589111004158</t>
  </si>
  <si>
    <t>sin simcard nio forro</t>
  </si>
  <si>
    <t>No tiene</t>
  </si>
  <si>
    <t>Johana Escalante</t>
  </si>
  <si>
    <t>Cambio de pantalla y flex de power</t>
  </si>
  <si>
    <t>No se acuerda</t>
  </si>
  <si>
    <t>Equipo reparado y listo para entregar al cliente</t>
  </si>
  <si>
    <t>Equipo entregado al cliente y paga el excedente 55mil</t>
  </si>
  <si>
    <t>=============================================================================================</t>
  </si>
  <si>
    <t>Pasados 30 dias NO se responde por el Celular y el mismo sera usado para cubrir el costo de la reparacion</t>
  </si>
  <si>
    <t>Reparado</t>
  </si>
  <si>
    <t>Entregado</t>
  </si>
  <si>
    <t>En Proceso</t>
  </si>
  <si>
    <t>una vez mas</t>
  </si>
  <si>
    <t>inicia proceso</t>
  </si>
  <si>
    <t>Equipo reparado y entregado el cliente paga todo</t>
  </si>
  <si>
    <t>Julio Velasquez</t>
  </si>
  <si>
    <t>Arreglar Pin de carga y configuracion</t>
  </si>
  <si>
    <t>Alcatel</t>
  </si>
  <si>
    <t>1SE</t>
  </si>
  <si>
    <t>Bandeja de sim rota visor pantalla roto se recibe apagado visor camara roto sin sim ni forro</t>
  </si>
  <si>
    <t>Ruben Meza</t>
  </si>
  <si>
    <t>Note 10s</t>
  </si>
  <si>
    <t>Sin simcard ni forro</t>
  </si>
  <si>
    <t>1oo2oo345</t>
  </si>
  <si>
    <t>Equipo reprado y listo para entregar al cliente .. Compra vidrio y forro</t>
  </si>
  <si>
    <t>equipo entregado al cliente mejor compra silicone</t>
  </si>
  <si>
    <t xml:space="preserve">el cliente solicita cambiar la pantalla y se llega a un acuerdo de un total por 175mil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</si>
</sst>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2" formatCode="_-&quot;$&quot;* #,##0_-;\-&quot;$&quot;* #,##0_-;_-&quot;$&quot;* &quot;-&quot;_-;_-@_-"/>
    <numFmt numFmtId="164" formatCode="d/mm/yyyy"/>
    <numFmt numFmtId="165" formatCode="ddd\-d\-mmm\-yy"/>
  </numFmts>
  <fonts count="13" x14ac:knownFonts="1">
    <font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2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color rgb="FF000000"/>
      <name val="Calibri"/>
      <family val="2"/>
    </font>
    <font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sz val="16"/>
      <color rgb="FF000000"/>
      <name val="Calibri"/>
      <family val="2"/>
    </font>
    <font>
      <b/>
      <i/>
      <sz val="10"/>
      <color theme="1"/>
      <name val="Calibri"/>
      <family val="2"/>
      <scheme val="minor"/>
    </font>
    <font>
      <b/>
      <sz val="10"/>
      <color rgb="FF0432FF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/>
        <bgColor indexed="64"/>
      </patternFill>
    </fill>
  </fills>
  <borders count="22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/>
      <top style="double">
        <color indexed="64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</borders>
  <cellStyleXfs count="2">
    <xf numFmtId="0" fontId="0" fillId="0" borderId="0"/>
    <xf numFmtId="42" fontId="1" fillId="0" borderId="0" applyFont="0" applyFill="0" applyBorder="0" applyAlignment="0" applyProtection="0"/>
  </cellStyleXfs>
  <cellXfs count="102">
    <xf numFmtId="0" fontId="0" fillId="0" borderId="0" xfId="0"/>
    <xf numFmtId="0" fontId="0" fillId="0" borderId="1" xfId="0" applyBorder="1"/>
    <xf numFmtId="0" fontId="0" fillId="0" borderId="0" xfId="0" applyAlignment="1">
      <alignment horizontal="center"/>
    </xf>
    <xf numFmtId="0" fontId="0" fillId="0" borderId="9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right"/>
    </xf>
    <xf numFmtId="0" fontId="2" fillId="0" borderId="0" xfId="0" applyFont="1" applyAlignment="1">
      <alignment horizontal="right"/>
    </xf>
    <xf numFmtId="0" fontId="2" fillId="0" borderId="0" xfId="0" applyFont="1"/>
    <xf numFmtId="0" fontId="0" fillId="0" borderId="8" xfId="0" applyBorder="1" applyAlignment="1">
      <alignment horizontal="center"/>
    </xf>
    <xf numFmtId="0" fontId="0" fillId="0" borderId="11" xfId="0" applyBorder="1"/>
    <xf numFmtId="0" fontId="0" fillId="0" borderId="13" xfId="0" applyBorder="1"/>
    <xf numFmtId="0" fontId="0" fillId="0" borderId="12" xfId="0" applyBorder="1"/>
    <xf numFmtId="0" fontId="4" fillId="0" borderId="1" xfId="0" applyFont="1" applyBorder="1"/>
    <xf numFmtId="0" fontId="0" fillId="0" borderId="6" xfId="0" applyBorder="1"/>
    <xf numFmtId="0" fontId="0" fillId="0" borderId="14" xfId="0" applyBorder="1"/>
    <xf numFmtId="0" fontId="2" fillId="0" borderId="15" xfId="0" applyFont="1" applyBorder="1" applyAlignment="1">
      <alignment horizontal="center"/>
    </xf>
    <xf numFmtId="0" fontId="0" fillId="0" borderId="17" xfId="0" applyBorder="1"/>
    <xf numFmtId="42" fontId="0" fillId="0" borderId="11" xfId="1" applyFont="1" applyBorder="1"/>
    <xf numFmtId="0" fontId="0" fillId="0" borderId="18" xfId="0" applyBorder="1"/>
    <xf numFmtId="0" fontId="5" fillId="3" borderId="19" xfId="0" applyFont="1" applyFill="1" applyBorder="1"/>
    <xf numFmtId="0" fontId="5" fillId="3" borderId="20" xfId="0" applyFont="1" applyFill="1" applyBorder="1"/>
    <xf numFmtId="164" fontId="0" fillId="0" borderId="0" xfId="0" applyNumberFormat="1"/>
    <xf numFmtId="0" fontId="5" fillId="3" borderId="21" xfId="0" applyFont="1" applyFill="1" applyBorder="1"/>
    <xf numFmtId="42" fontId="0" fillId="0" borderId="0" xfId="0" applyNumberFormat="1"/>
    <xf numFmtId="49" fontId="0" fillId="0" borderId="0" xfId="0" applyNumberFormat="1"/>
    <xf numFmtId="0" fontId="5" fillId="3" borderId="0" xfId="0" applyFont="1" applyFill="1"/>
    <xf numFmtId="0" fontId="6" fillId="0" borderId="0" xfId="0" applyFont="1"/>
    <xf numFmtId="0" fontId="0" fillId="0" borderId="8" xfId="0" applyBorder="1"/>
    <xf numFmtId="0" fontId="9" fillId="0" borderId="0" xfId="0" applyFont="1"/>
    <xf numFmtId="49" fontId="9" fillId="0" borderId="0" xfId="0" applyNumberFormat="1" applyFont="1"/>
    <xf numFmtId="0" fontId="9" fillId="0" borderId="0" xfId="0" applyFont="1" applyAlignment="1">
      <alignment horizontal="center"/>
    </xf>
    <xf numFmtId="0" fontId="9" fillId="0" borderId="0" xfId="0" quotePrefix="1" applyFont="1"/>
    <xf numFmtId="0" fontId="9" fillId="0" borderId="1" xfId="0" applyFont="1" applyBorder="1"/>
    <xf numFmtId="0" fontId="2" fillId="0" borderId="2" xfId="0" applyFont="1" applyBorder="1" applyAlignment="1">
      <alignment horizontal="center"/>
    </xf>
    <xf numFmtId="0" fontId="0" fillId="0" borderId="0" xfId="0" quotePrefix="1"/>
    <xf numFmtId="0" fontId="6" fillId="4" borderId="11" xfId="0" applyFont="1" applyFill="1" applyBorder="1"/>
    <xf numFmtId="0" fontId="6" fillId="4" borderId="12" xfId="0" applyFont="1" applyFill="1" applyBorder="1"/>
    <xf numFmtId="0" fontId="6" fillId="0" borderId="11" xfId="0" applyFont="1" applyBorder="1"/>
    <xf numFmtId="0" fontId="6" fillId="0" borderId="12" xfId="0" applyFont="1" applyBorder="1"/>
    <xf numFmtId="22" fontId="0" fillId="0" borderId="0" xfId="0" applyNumberFormat="1"/>
    <xf numFmtId="0" fontId="0" fillId="0" borderId="7" xfId="0" applyBorder="1"/>
    <xf numFmtId="14" fontId="4" fillId="0" borderId="0" xfId="0" applyNumberFormat="1" applyFont="1" applyAlignment="1">
      <alignment horizontal="left"/>
    </xf>
    <xf numFmtId="0" fontId="0" fillId="0" borderId="0" xfId="0" pivotButton="1"/>
    <xf numFmtId="14" fontId="0" fillId="0" borderId="0" xfId="0" applyNumberFormat="1"/>
    <xf numFmtId="0" fontId="0" fillId="0" borderId="8" xfId="0" applyBorder="1" applyAlignment="1" applyProtection="1">
      <alignment horizontal="center"/>
      <protection locked="0"/>
    </xf>
    <xf numFmtId="0" fontId="4" fillId="0" borderId="1" xfId="0" applyFont="1" applyBorder="1" applyAlignment="1" applyProtection="1">
      <alignment horizontal="left"/>
      <protection locked="0"/>
    </xf>
    <xf numFmtId="42" fontId="0" fillId="0" borderId="11" xfId="1" applyFont="1" applyBorder="1" applyProtection="1">
      <protection locked="0"/>
    </xf>
    <xf numFmtId="42" fontId="0" fillId="0" borderId="11" xfId="1" applyFont="1" applyBorder="1" applyProtection="1">
      <protection hidden="1"/>
    </xf>
    <xf numFmtId="0" fontId="12" fillId="0" borderId="0" xfId="0" applyFont="1" applyAlignment="1">
      <alignment horizontal="left" vertical="top"/>
    </xf>
    <xf numFmtId="0" fontId="0" fillId="0" borderId="17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2" xfId="0" applyBorder="1" applyAlignment="1">
      <alignment horizontal="center"/>
    </xf>
    <xf numFmtId="0" fontId="2" fillId="2" borderId="0" xfId="0" applyFont="1" applyFill="1" applyAlignment="1">
      <alignment horizontal="center"/>
    </xf>
    <xf numFmtId="0" fontId="3" fillId="0" borderId="0" xfId="0" applyFont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11" fillId="0" borderId="1" xfId="0" applyFon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/>
      <protection locked="0"/>
    </xf>
    <xf numFmtId="0" fontId="0" fillId="0" borderId="8" xfId="0" applyBorder="1" applyAlignment="1" applyProtection="1">
      <alignment horizontal="left"/>
      <protection locked="0"/>
    </xf>
    <xf numFmtId="0" fontId="0" fillId="0" borderId="1" xfId="0" applyBorder="1" applyAlignment="1" applyProtection="1">
      <alignment horizontal="center"/>
      <protection locked="0"/>
    </xf>
    <xf numFmtId="0" fontId="0" fillId="0" borderId="8" xfId="0" applyBorder="1" applyAlignment="1" applyProtection="1">
      <alignment horizontal="center"/>
      <protection locked="0"/>
    </xf>
    <xf numFmtId="164" fontId="0" fillId="0" borderId="10" xfId="0" applyNumberFormat="1" applyBorder="1" applyAlignment="1">
      <alignment horizontal="center"/>
    </xf>
    <xf numFmtId="0" fontId="8" fillId="0" borderId="2" xfId="0" applyFont="1" applyBorder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 vertical="center"/>
      <protection locked="0"/>
    </xf>
    <xf numFmtId="0" fontId="8" fillId="0" borderId="3" xfId="0" applyFont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 vertical="center"/>
      <protection locked="0"/>
    </xf>
    <xf numFmtId="0" fontId="8" fillId="0" borderId="4" xfId="0" applyFont="1" applyBorder="1" applyAlignment="1" applyProtection="1">
      <alignment horizontal="center" vertical="center"/>
      <protection locked="0"/>
    </xf>
    <xf numFmtId="0" fontId="8" fillId="0" borderId="6" xfId="0" applyFont="1" applyBorder="1" applyAlignment="1" applyProtection="1">
      <alignment horizontal="center" vertical="center"/>
      <protection locked="0"/>
    </xf>
    <xf numFmtId="0" fontId="8" fillId="0" borderId="7" xfId="0" applyFont="1" applyBorder="1" applyAlignment="1" applyProtection="1">
      <alignment horizontal="center" vertical="center"/>
      <protection locked="0"/>
    </xf>
    <xf numFmtId="0" fontId="8" fillId="0" borderId="1" xfId="0" applyFont="1" applyBorder="1" applyAlignment="1" applyProtection="1">
      <alignment horizontal="center" vertical="center"/>
      <protection locked="0"/>
    </xf>
    <xf numFmtId="0" fontId="2" fillId="0" borderId="0" xfId="0" applyFont="1" applyAlignment="1">
      <alignment horizontal="center"/>
    </xf>
    <xf numFmtId="0" fontId="2" fillId="0" borderId="6" xfId="0" applyFont="1" applyBorder="1" applyAlignment="1">
      <alignment horizontal="center"/>
    </xf>
    <xf numFmtId="0" fontId="8" fillId="0" borderId="8" xfId="0" applyFont="1" applyBorder="1" applyAlignment="1" applyProtection="1">
      <alignment horizontal="center" vertical="center"/>
      <protection locked="0"/>
    </xf>
    <xf numFmtId="49" fontId="0" fillId="0" borderId="1" xfId="0" applyNumberFormat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165" fontId="0" fillId="0" borderId="1" xfId="0" applyNumberFormat="1" applyBorder="1" applyAlignment="1">
      <alignment horizontal="left"/>
    </xf>
    <xf numFmtId="165" fontId="0" fillId="0" borderId="8" xfId="0" applyNumberFormat="1" applyBorder="1" applyAlignment="1">
      <alignment horizontal="left"/>
    </xf>
    <xf numFmtId="0" fontId="0" fillId="0" borderId="1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1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19" fontId="4" fillId="0" borderId="0" xfId="0" applyNumberFormat="1" applyFont="1" applyAlignment="1">
      <alignment horizontal="left"/>
    </xf>
    <xf numFmtId="0" fontId="0" fillId="0" borderId="7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0" xfId="0" applyFont="1" applyAlignment="1">
      <alignment horizontal="center" vertical="top" wrapText="1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11" fillId="0" borderId="0" xfId="0" applyFont="1" applyAlignment="1">
      <alignment horizontal="center"/>
    </xf>
    <xf numFmtId="0" fontId="11" fillId="0" borderId="13" xfId="0" applyFont="1" applyBorder="1" applyAlignment="1">
      <alignment horizontal="center"/>
    </xf>
    <xf numFmtId="0" fontId="4" fillId="0" borderId="1" xfId="0" applyFont="1" applyBorder="1" applyAlignment="1">
      <alignment horizontal="center" vertical="center"/>
    </xf>
    <xf numFmtId="49" fontId="0" fillId="0" borderId="0" xfId="0" applyNumberFormat="1" applyAlignment="1">
      <alignment horizontal="center"/>
    </xf>
    <xf numFmtId="0" fontId="9" fillId="0" borderId="0" xfId="0" applyFont="1" applyAlignment="1">
      <alignment horizontal="center"/>
    </xf>
  </cellXfs>
  <cellStyles count="2">
    <cellStyle name="Moneda [0]" xfId="1" builtinId="7"/>
    <cellStyle name="Normal" xfId="0" builtinId="0"/>
  </cellStyles>
  <dxfs count="1">
    <dxf>
      <numFmt numFmtId="0" formatCode="General"/>
    </dxf>
  </dxfs>
  <tableStyles count="0" defaultTableStyle="TableStyleMedium2" defaultPivotStyle="PivotStyleLight16"/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7/relationships/slicerCache" Target="slicerCaches/slicerCach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101600</xdr:colOff>
          <xdr:row>25</xdr:row>
          <xdr:rowOff>12700</xdr:rowOff>
        </xdr:from>
        <xdr:to>
          <xdr:col>11</xdr:col>
          <xdr:colOff>0</xdr:colOff>
          <xdr:row>27</xdr:row>
          <xdr:rowOff>38100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Registrar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381000</xdr:colOff>
          <xdr:row>25</xdr:row>
          <xdr:rowOff>38100</xdr:rowOff>
        </xdr:from>
        <xdr:to>
          <xdr:col>5</xdr:col>
          <xdr:colOff>482600</xdr:colOff>
          <xdr:row>27</xdr:row>
          <xdr:rowOff>63500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6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Imprimir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15</xdr:row>
          <xdr:rowOff>165100</xdr:rowOff>
        </xdr:from>
        <xdr:to>
          <xdr:col>2</xdr:col>
          <xdr:colOff>127000</xdr:colOff>
          <xdr:row>18</xdr:row>
          <xdr:rowOff>12700</xdr:rowOff>
        </xdr:to>
        <xdr:sp macro="" textlink="">
          <xdr:nvSpPr>
            <xdr:cNvPr id="7169" name="Button 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2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Confirmar </a:t>
              </a:r>
            </a:p>
            <a:p>
              <a:pPr algn="ctr" rtl="0">
                <a:defRPr sz="1000"/>
              </a:pPr>
              <a:r>
                <a:rPr lang="es-MX" sz="10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Proceso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114300</xdr:colOff>
      <xdr:row>3</xdr:row>
      <xdr:rowOff>127000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2" name="Estado">
              <a:extLst>
                <a:ext uri="{FF2B5EF4-FFF2-40B4-BE49-F238E27FC236}">
                  <a16:creationId xmlns:a16="http://schemas.microsoft.com/office/drawing/2014/main" id="{00000000-0008-0000-08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Estado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0"/>
              <a:ext cx="3924300" cy="66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s-MX" sz="1100"/>
                <a:t>Esta forma representa una segmentación de datos. La segmentación de datos se admite en Excel 2010 y versiones posteriores.
Si la forma se modificó en una versión anterior de Excel o si el libro se guardó en Excel 2003 o una versión anterior, no se puede usar la segmentación de datos.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Armando Lizarazo" refreshedDate="45192.266924768519" createdVersion="8" refreshedVersion="8" minRefreshableVersion="3" recordCount="19" xr:uid="{9D774A78-E7F2-D547-ADAD-DF45944F6B4C}">
  <cacheSource type="worksheet">
    <worksheetSource name="dbform"/>
  </cacheSource>
  <cacheFields count="23">
    <cacheField name="Orden" numFmtId="0">
      <sharedItems containsString="0" containsBlank="1" containsNumber="1" containsInteger="1" minValue="1" maxValue="18" count="19">
        <n v="18"/>
        <m/>
        <n v="17"/>
        <n v="16"/>
        <n v="15"/>
        <n v="14"/>
        <n v="13"/>
        <n v="12"/>
        <n v="11"/>
        <n v="10"/>
        <n v="9"/>
        <n v="8"/>
        <n v="7"/>
        <n v="6"/>
        <n v="5"/>
        <n v="4"/>
        <n v="3"/>
        <n v="2"/>
        <n v="1"/>
      </sharedItems>
    </cacheField>
    <cacheField name="Fecha" numFmtId="0">
      <sharedItems containsString="0" containsBlank="1" containsNumber="1" containsInteger="1" minValue="45180" maxValue="45188"/>
    </cacheField>
    <cacheField name="Cliente" numFmtId="0">
      <sharedItems containsBlank="1" count="18">
        <s v="Johana Escalante"/>
        <m/>
        <s v="Yoleidis Leon"/>
        <s v="Alexander Sierra"/>
        <s v="Yajaira Herrera"/>
        <s v="Kener Jaramillo"/>
        <s v="Abel Isaac"/>
        <s v="Miguel Perez"/>
        <s v="Ronny Pacheco"/>
        <s v="Diego Naranjo"/>
        <s v="Orlando Cardona"/>
        <s v="Carlos Ramirez"/>
        <s v="Carlos Chavez"/>
        <s v="Luis Ramirez"/>
        <s v="Armando Lizarazo"/>
        <s v="rordrigo rodriguez"/>
        <s v="jose matias"/>
        <s v="Samuel Perez"/>
      </sharedItems>
    </cacheField>
    <cacheField name="Documento" numFmtId="0">
      <sharedItems containsString="0" containsBlank="1" containsNumber="1" containsInteger="1" minValue="346587" maxValue="1124370157"/>
    </cacheField>
    <cacheField name="Telefono" numFmtId="0">
      <sharedItems containsString="0" containsBlank="1" containsNumber="1" containsInteger="1" minValue="687523" maxValue="32364561253" count="18">
        <n v="3219105712"/>
        <m/>
        <n v="3177960192"/>
        <n v="3209141155"/>
        <n v="3013106719"/>
        <n v="3209641024"/>
        <n v="3229134023"/>
        <n v="3209122563"/>
        <n v="3016079202"/>
        <n v="90900990"/>
        <n v="3040340304"/>
        <n v="308907060"/>
        <n v="3224156755"/>
        <n v="3046313114"/>
        <n v="30346313114"/>
        <n v="32364561253"/>
        <n v="687523"/>
        <n v="8613489612"/>
      </sharedItems>
    </cacheField>
    <cacheField name="Marca" numFmtId="0">
      <sharedItems containsBlank="1" containsMixedTypes="1" containsNumber="1" containsInteger="1" minValue="0" maxValue="0" count="10">
        <s v="Huawei"/>
        <m/>
        <s v="LG"/>
        <s v="Oppo"/>
        <s v="Samsung"/>
        <s v="Motorola"/>
        <s v="Xiaomi"/>
        <s v="apple"/>
        <s v="Vivo"/>
        <n v="0"/>
      </sharedItems>
    </cacheField>
    <cacheField name="Modelo" numFmtId="0">
      <sharedItems containsBlank="1" containsMixedTypes="1" containsNumber="1" containsInteger="1" minValue="0" maxValue="0" count="17">
        <s v="Y9 Prime"/>
        <m/>
        <s v="K42s"/>
        <s v="A16"/>
        <s v="A11"/>
        <s v="E20"/>
        <s v="Moto G20"/>
        <s v="A31"/>
        <s v="Note 11"/>
        <s v="A54"/>
        <s v="iphone 12"/>
        <s v="Y20i"/>
        <s v="S9+"/>
        <s v="iPhone XR"/>
        <n v="0"/>
        <s v="S23 FE"/>
        <s v="Redmi 10"/>
      </sharedItems>
    </cacheField>
    <cacheField name="Imei" numFmtId="0">
      <sharedItems containsBlank="1" containsMixedTypes="1" containsNumber="1" containsInteger="1" minValue="0" maxValue="0" count="12">
        <n v="0"/>
        <m/>
        <s v="356589111004158"/>
        <s v="909089897867564"/>
        <s v="123456789098765"/>
        <s v="435678765432345"/>
        <s v="657865434578654"/>
        <s v="987654326756432"/>
        <s v="123456789123"/>
        <s v="y354672573"/>
        <s v="u163458681936"/>
        <s v="no registra"/>
      </sharedItems>
    </cacheField>
    <cacheField name="Enciende" numFmtId="0">
      <sharedItems containsBlank="1"/>
    </cacheField>
    <cacheField name="Auricular" numFmtId="0">
      <sharedItems containsBlank="1" containsMixedTypes="1" containsNumber="1" containsInteger="1" minValue="0" maxValue="0"/>
    </cacheField>
    <cacheField name="Pin/contraseña" numFmtId="0">
      <sharedItems containsBlank="1" containsMixedTypes="1" containsNumber="1" containsInteger="1" minValue="0" maxValue="908070"/>
    </cacheField>
    <cacheField name="Señal" numFmtId="0">
      <sharedItems containsBlank="1" containsMixedTypes="1" containsNumber="1" containsInteger="1" minValue="0" maxValue="0"/>
    </cacheField>
    <cacheField name="Altavoz" numFmtId="0">
      <sharedItems containsBlank="1" containsMixedTypes="1" containsNumber="1" containsInteger="1" minValue="0" maxValue="0"/>
    </cacheField>
    <cacheField name="Pantalla" numFmtId="0">
      <sharedItems containsBlank="1" containsMixedTypes="1" containsNumber="1" containsInteger="1" minValue="0" maxValue="0"/>
    </cacheField>
    <cacheField name="Bateria" numFmtId="0">
      <sharedItems containsBlank="1" containsMixedTypes="1" containsNumber="1" containsInteger="1" minValue="0" maxValue="0"/>
    </cacheField>
    <cacheField name="SistCarga" numFmtId="0">
      <sharedItems containsBlank="1"/>
    </cacheField>
    <cacheField name="Proceso" numFmtId="0">
      <sharedItems containsBlank="1" count="8">
        <s v="Cambio de pantalla y flex de power"/>
        <m/>
        <s v="Cambio de pantalla"/>
        <s v="Control de Humedad"/>
        <s v="Cambio de pantalla y logica de carga"/>
        <s v="Reemplazar Auricular"/>
        <s v="Limpieza auricular"/>
        <s v="Limpieza General"/>
      </sharedItems>
    </cacheField>
    <cacheField name="Detalles" numFmtId="0">
      <sharedItems containsBlank="1" containsMixedTypes="1" containsNumber="1" containsInteger="1" minValue="0" maxValue="0" count="13">
        <s v="Sin forro ni simcard"/>
        <m/>
        <s v="sin simcard nio forro"/>
        <s v="Visor camara rayado Sin Forro ni simcard ni memoria"/>
        <s v="sin simcard ni forro"/>
        <s v="SIN SIM NI FORRO"/>
        <s v="Sin sim ni forro -- Queda sin Sensor de huella"/>
        <n v="0"/>
        <s v="Deja solo el telefono"/>
        <s v="Sim forro ni simcard"/>
        <s v="Sim simcard ni memoria ni forro"/>
        <s v="sim sim ni forr"/>
        <s v="Sin sim ni forro "/>
      </sharedItems>
    </cacheField>
    <cacheField name="Total" numFmtId="0">
      <sharedItems containsString="0" containsBlank="1" containsNumber="1" containsInteger="1" minValue="0" maxValue="1500000" count="13">
        <n v="165000"/>
        <m/>
        <n v="125000"/>
        <n v="120000"/>
        <n v="110000"/>
        <n v="30000"/>
        <n v="0"/>
        <n v="180000"/>
        <n v="350000"/>
        <n v="20000"/>
        <n v="800000"/>
        <n v="1500000"/>
        <n v="150000"/>
      </sharedItems>
    </cacheField>
    <cacheField name="Abono" numFmtId="0">
      <sharedItems containsString="0" containsBlank="1" containsNumber="1" containsInteger="1" minValue="0" maxValue="1000000" count="13">
        <n v="0"/>
        <m/>
        <n v="70000"/>
        <n v="40000"/>
        <n v="120000"/>
        <n v="30000"/>
        <n v="80000"/>
        <n v="300000"/>
        <n v="15000"/>
        <n v="20000"/>
        <n v="800000"/>
        <n v="1000000"/>
        <n v="100000"/>
      </sharedItems>
    </cacheField>
    <cacheField name="Saldo" numFmtId="0">
      <sharedItems containsString="0" containsBlank="1" containsNumber="1" containsInteger="1" minValue="-500000" maxValue="0" count="10">
        <n v="-165000"/>
        <m/>
        <n v="-55000"/>
        <n v="-125000"/>
        <n v="-80000"/>
        <n v="0"/>
        <n v="-100000"/>
        <n v="-50000"/>
        <n v="-15000"/>
        <n v="-500000"/>
      </sharedItems>
    </cacheField>
    <cacheField name="Patron" numFmtId="0">
      <sharedItems containsBlank="1" containsMixedTypes="1" containsNumber="1" containsInteger="1" minValue="0" maxValue="123456789"/>
    </cacheField>
    <cacheField name="Estado" numFmtId="0">
      <sharedItems containsMixedTypes="1" containsNumber="1" containsInteger="1" minValue="0" maxValue="0" count="4">
        <s v="Entregado"/>
        <n v="0"/>
        <s v="Reparado"/>
        <s v="Sin Procesos"/>
      </sharedItems>
    </cacheField>
  </cacheFields>
  <extLst>
    <ext xmlns:x14="http://schemas.microsoft.com/office/spreadsheetml/2009/9/main" uri="{725AE2AE-9491-48be-B2B4-4EB974FC3084}">
      <x14:pivotCacheDefinition pivotCacheId="828784586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9">
  <r>
    <x v="0"/>
    <n v="45188"/>
    <x v="0"/>
    <n v="1121972645"/>
    <x v="0"/>
    <x v="0"/>
    <x v="0"/>
    <x v="0"/>
    <s v="Si"/>
    <s v="SR"/>
    <s v="No se acuerda"/>
    <s v="SR"/>
    <s v="SR"/>
    <s v="No Prende"/>
    <s v="Optima"/>
    <s v="Intermitente"/>
    <x v="0"/>
    <x v="0"/>
    <x v="0"/>
    <x v="0"/>
    <x v="0"/>
    <s v="ooooooooo"/>
    <x v="0"/>
  </r>
  <r>
    <x v="1"/>
    <m/>
    <x v="1"/>
    <m/>
    <x v="1"/>
    <x v="1"/>
    <x v="1"/>
    <x v="1"/>
    <m/>
    <m/>
    <m/>
    <m/>
    <m/>
    <m/>
    <m/>
    <m/>
    <x v="1"/>
    <x v="1"/>
    <x v="1"/>
    <x v="1"/>
    <x v="1"/>
    <m/>
    <x v="1"/>
  </r>
  <r>
    <x v="2"/>
    <n v="45188"/>
    <x v="2"/>
    <n v="22656096"/>
    <x v="2"/>
    <x v="2"/>
    <x v="2"/>
    <x v="2"/>
    <s v="Si"/>
    <s v="SR"/>
    <s v="No tiene"/>
    <s v="SR"/>
    <s v="SR"/>
    <s v="Falla Tactil"/>
    <s v="Optima"/>
    <s v="Optimo"/>
    <x v="2"/>
    <x v="2"/>
    <x v="2"/>
    <x v="2"/>
    <x v="2"/>
    <s v="ooooooooo"/>
    <x v="0"/>
  </r>
  <r>
    <x v="3"/>
    <n v="45186"/>
    <x v="3"/>
    <n v="1118538907"/>
    <x v="3"/>
    <x v="3"/>
    <x v="3"/>
    <x v="0"/>
    <s v="Si"/>
    <n v="0"/>
    <n v="210809"/>
    <n v="0"/>
    <n v="0"/>
    <n v="0"/>
    <s v="Optima"/>
    <s v="Optimo"/>
    <x v="2"/>
    <x v="3"/>
    <x v="2"/>
    <x v="0"/>
    <x v="3"/>
    <s v="ooooooooo"/>
    <x v="0"/>
  </r>
  <r>
    <x v="4"/>
    <n v="45186"/>
    <x v="4"/>
    <n v="52724902"/>
    <x v="4"/>
    <x v="4"/>
    <x v="4"/>
    <x v="0"/>
    <s v="No"/>
    <n v="0"/>
    <n v="0"/>
    <n v="0"/>
    <n v="0"/>
    <n v="0"/>
    <n v="0"/>
    <s v="Intermitente"/>
    <x v="2"/>
    <x v="4"/>
    <x v="3"/>
    <x v="3"/>
    <x v="4"/>
    <s v="ooooooooo"/>
    <x v="2"/>
  </r>
  <r>
    <x v="5"/>
    <n v="45185"/>
    <x v="5"/>
    <n v="1003377494"/>
    <x v="5"/>
    <x v="5"/>
    <x v="5"/>
    <x v="0"/>
    <s v="Si"/>
    <s v="SR"/>
    <n v="1999"/>
    <s v="SR"/>
    <s v="SR"/>
    <s v="Manchada"/>
    <s v="SR"/>
    <s v="Optimo"/>
    <x v="2"/>
    <x v="5"/>
    <x v="3"/>
    <x v="4"/>
    <x v="5"/>
    <s v="ooooooooo"/>
    <x v="3"/>
  </r>
  <r>
    <x v="6"/>
    <n v="45184"/>
    <x v="6"/>
    <n v="1066509408"/>
    <x v="6"/>
    <x v="5"/>
    <x v="6"/>
    <x v="0"/>
    <s v="Si"/>
    <s v="SR"/>
    <n v="2518"/>
    <s v="SR"/>
    <s v="SR"/>
    <s v="Manchada"/>
    <s v="Optima"/>
    <s v="Optimo"/>
    <x v="2"/>
    <x v="4"/>
    <x v="4"/>
    <x v="5"/>
    <x v="4"/>
    <s v="ooooooooo"/>
    <x v="2"/>
  </r>
  <r>
    <x v="7"/>
    <n v="45184"/>
    <x v="7"/>
    <n v="1024580916"/>
    <x v="7"/>
    <x v="4"/>
    <x v="7"/>
    <x v="0"/>
    <s v="Si"/>
    <s v="SR"/>
    <n v="0"/>
    <s v="SR"/>
    <s v="SR"/>
    <s v="No Prende"/>
    <s v="Optima"/>
    <s v="Intermitente"/>
    <x v="2"/>
    <x v="6"/>
    <x v="2"/>
    <x v="0"/>
    <x v="3"/>
    <s v="6o3o241o5"/>
    <x v="2"/>
  </r>
  <r>
    <x v="8"/>
    <n v="45184"/>
    <x v="8"/>
    <n v="1124370157"/>
    <x v="8"/>
    <x v="6"/>
    <x v="8"/>
    <x v="0"/>
    <s v="Si"/>
    <s v="SR"/>
    <n v="251403"/>
    <s v="SR"/>
    <s v="SR"/>
    <s v="Falla Tactil"/>
    <s v="Optima"/>
    <s v="Optimo"/>
    <x v="2"/>
    <x v="4"/>
    <x v="2"/>
    <x v="0"/>
    <x v="3"/>
    <s v="ooooooooo"/>
    <x v="2"/>
  </r>
  <r>
    <x v="9"/>
    <n v="45184"/>
    <x v="9"/>
    <n v="606060606"/>
    <x v="9"/>
    <x v="0"/>
    <x v="0"/>
    <x v="3"/>
    <s v="Si"/>
    <s v="No se Oye"/>
    <n v="0"/>
    <s v="Baja"/>
    <s v="No se Oye"/>
    <s v="No Prende"/>
    <s v="No carga"/>
    <s v="Averiado"/>
    <x v="3"/>
    <x v="7"/>
    <x v="5"/>
    <x v="5"/>
    <x v="5"/>
    <s v="123o4oo5o"/>
    <x v="2"/>
  </r>
  <r>
    <x v="10"/>
    <n v="45184"/>
    <x v="10"/>
    <n v="20202020"/>
    <x v="10"/>
    <x v="3"/>
    <x v="9"/>
    <x v="4"/>
    <s v="Si"/>
    <s v="Se Oye"/>
    <n v="0"/>
    <s v="SR"/>
    <s v="Se Oye"/>
    <s v="No Prende"/>
    <s v="Optima"/>
    <s v="Averiado"/>
    <x v="4"/>
    <x v="8"/>
    <x v="6"/>
    <x v="0"/>
    <x v="5"/>
    <s v="123894765"/>
    <x v="3"/>
  </r>
  <r>
    <x v="11"/>
    <n v="45184"/>
    <x v="11"/>
    <n v="346587"/>
    <x v="11"/>
    <x v="7"/>
    <x v="10"/>
    <x v="5"/>
    <s v="Si"/>
    <s v="No se Oye"/>
    <n v="0"/>
    <s v="Optima"/>
    <s v="Se Oye"/>
    <s v="Ok"/>
    <s v="Optima"/>
    <s v="Optimo"/>
    <x v="5"/>
    <x v="9"/>
    <x v="7"/>
    <x v="6"/>
    <x v="6"/>
    <s v="ooooooooo"/>
    <x v="3"/>
  </r>
  <r>
    <x v="12"/>
    <n v="45184"/>
    <x v="12"/>
    <n v="907068"/>
    <x v="12"/>
    <x v="8"/>
    <x v="11"/>
    <x v="6"/>
    <s v="Si"/>
    <s v="SR"/>
    <n v="0"/>
    <s v="SR"/>
    <s v="Se Oye"/>
    <s v="No Prende"/>
    <s v="Optima"/>
    <s v="Intermitente"/>
    <x v="4"/>
    <x v="10"/>
    <x v="8"/>
    <x v="7"/>
    <x v="7"/>
    <n v="0"/>
    <x v="3"/>
  </r>
  <r>
    <x v="13"/>
    <n v="45184"/>
    <x v="13"/>
    <n v="80677812"/>
    <x v="13"/>
    <x v="4"/>
    <x v="12"/>
    <x v="7"/>
    <s v="Si"/>
    <s v="Se Oye"/>
    <n v="0"/>
    <s v="Optima"/>
    <s v="Se Oye"/>
    <s v="Ok"/>
    <s v="Optima"/>
    <s v="Optimo"/>
    <x v="6"/>
    <x v="0"/>
    <x v="5"/>
    <x v="8"/>
    <x v="8"/>
    <s v="18o276345"/>
    <x v="3"/>
  </r>
  <r>
    <x v="14"/>
    <n v="45184"/>
    <x v="14"/>
    <n v="80577811"/>
    <x v="13"/>
    <x v="7"/>
    <x v="13"/>
    <x v="8"/>
    <s v="Si"/>
    <s v="Se Oye"/>
    <n v="908070"/>
    <s v="Optima"/>
    <s v="Se Oye"/>
    <s v="Ok"/>
    <s v="Optima"/>
    <s v="Optimo"/>
    <x v="7"/>
    <x v="11"/>
    <x v="9"/>
    <x v="9"/>
    <x v="5"/>
    <s v="18o276345"/>
    <x v="3"/>
  </r>
  <r>
    <x v="15"/>
    <n v="45180"/>
    <x v="14"/>
    <n v="80577811"/>
    <x v="14"/>
    <x v="9"/>
    <x v="14"/>
    <x v="0"/>
    <s v="Si"/>
    <s v="SR"/>
    <n v="0"/>
    <s v="SR"/>
    <s v="SR"/>
    <s v="Manchada"/>
    <s v="Optima"/>
    <s v="Optimo"/>
    <x v="2"/>
    <x v="5"/>
    <x v="10"/>
    <x v="10"/>
    <x v="5"/>
    <s v="18o276345"/>
    <x v="3"/>
  </r>
  <r>
    <x v="16"/>
    <n v="45180"/>
    <x v="15"/>
    <n v="6235612"/>
    <x v="15"/>
    <x v="4"/>
    <x v="15"/>
    <x v="9"/>
    <s v="Si"/>
    <s v="SR"/>
    <n v="0"/>
    <s v="SR"/>
    <s v="SR"/>
    <s v="No Prende"/>
    <s v="Optima"/>
    <s v="Optimo"/>
    <x v="2"/>
    <x v="12"/>
    <x v="11"/>
    <x v="11"/>
    <x v="9"/>
    <n v="123456789"/>
    <x v="3"/>
  </r>
  <r>
    <x v="17"/>
    <n v="45180"/>
    <x v="16"/>
    <n v="8127643"/>
    <x v="16"/>
    <x v="3"/>
    <x v="9"/>
    <x v="10"/>
    <s v="Si"/>
    <s v="SR"/>
    <n v="0"/>
    <s v="SR"/>
    <s v="SR"/>
    <s v="Manchada"/>
    <s v="Optima"/>
    <s v="Optimo"/>
    <x v="2"/>
    <x v="5"/>
    <x v="12"/>
    <x v="12"/>
    <x v="7"/>
    <s v="123o4o567"/>
    <x v="3"/>
  </r>
  <r>
    <x v="18"/>
    <n v="45180"/>
    <x v="17"/>
    <n v="46918236"/>
    <x v="17"/>
    <x v="6"/>
    <x v="16"/>
    <x v="11"/>
    <s v="Si"/>
    <s v="Se Oye"/>
    <n v="0"/>
    <s v="Optima"/>
    <s v="SR"/>
    <s v="Manchada"/>
    <s v="Optima"/>
    <s v="Optimo"/>
    <x v="2"/>
    <x v="5"/>
    <x v="3"/>
    <x v="4"/>
    <x v="5"/>
    <s v="321498567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5B55AD8-0B18-B941-9AB9-695C0523964E}" name="TablaDinámica1" cacheId="263" applyNumberFormats="0" applyBorderFormats="0" applyFontFormats="0" applyPatternFormats="0" applyAlignmentFormats="0" applyWidthHeightFormats="1" dataCaption="Valores" updatedVersion="8" minRefreshableVersion="3" useAutoFormatting="1" rowGrandTotals="0" colGrandTotals="0" itemPrintTitles="1" createdVersion="8" indent="0" compact="0" compactData="0" multipleFieldFilters="0">
  <location ref="A5:L9" firstHeaderRow="1" firstDataRow="1" firstDataCol="12"/>
  <pivotFields count="23">
    <pivotField axis="axisRow" compact="0" outline="0" showAll="0" sortType="descending" defaultSubtotal="0">
      <items count="19">
        <item x="1"/>
        <item x="0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6"/>
        <item x="3"/>
        <item x="14"/>
        <item x="12"/>
        <item x="11"/>
        <item x="9"/>
        <item x="0"/>
        <item x="16"/>
        <item x="5"/>
        <item x="13"/>
        <item x="7"/>
        <item x="10"/>
        <item x="8"/>
        <item x="15"/>
        <item x="17"/>
        <item x="4"/>
        <item x="2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8">
        <item x="16"/>
        <item x="9"/>
        <item x="11"/>
        <item x="4"/>
        <item x="8"/>
        <item x="10"/>
        <item x="13"/>
        <item x="2"/>
        <item x="7"/>
        <item x="3"/>
        <item x="5"/>
        <item x="0"/>
        <item x="12"/>
        <item x="6"/>
        <item x="17"/>
        <item x="14"/>
        <item x="1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7"/>
        <item x="0"/>
        <item x="2"/>
        <item x="5"/>
        <item x="3"/>
        <item x="4"/>
        <item x="8"/>
        <item x="6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7">
        <item x="14"/>
        <item x="4"/>
        <item x="3"/>
        <item x="7"/>
        <item x="9"/>
        <item x="5"/>
        <item x="10"/>
        <item x="13"/>
        <item x="2"/>
        <item x="6"/>
        <item x="8"/>
        <item x="16"/>
        <item x="15"/>
        <item x="12"/>
        <item x="11"/>
        <item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2">
        <item x="0"/>
        <item x="4"/>
        <item x="8"/>
        <item x="2"/>
        <item x="5"/>
        <item x="6"/>
        <item x="3"/>
        <item x="7"/>
        <item x="11"/>
        <item x="10"/>
        <item x="9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8">
        <item x="2"/>
        <item x="0"/>
        <item x="4"/>
        <item x="3"/>
        <item x="6"/>
        <item x="7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7"/>
        <item x="8"/>
        <item x="9"/>
        <item x="11"/>
        <item x="10"/>
        <item x="0"/>
        <item x="5"/>
        <item x="12"/>
        <item x="6"/>
        <item x="4"/>
        <item x="2"/>
        <item x="3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6"/>
        <item x="9"/>
        <item x="5"/>
        <item x="4"/>
        <item x="3"/>
        <item x="2"/>
        <item x="12"/>
        <item x="0"/>
        <item x="7"/>
        <item x="8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3">
        <item x="0"/>
        <item x="8"/>
        <item x="9"/>
        <item x="5"/>
        <item x="3"/>
        <item x="2"/>
        <item x="6"/>
        <item x="12"/>
        <item x="4"/>
        <item x="7"/>
        <item x="10"/>
        <item x="11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0">
        <item x="9"/>
        <item x="0"/>
        <item x="3"/>
        <item x="6"/>
        <item x="4"/>
        <item x="2"/>
        <item x="7"/>
        <item x="8"/>
        <item x="5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">
        <item h="1" x="1"/>
        <item x="0"/>
        <item h="1" x="2"/>
        <item h="1" x="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2">
    <field x="0"/>
    <field x="2"/>
    <field x="4"/>
    <field x="5"/>
    <field x="6"/>
    <field x="7"/>
    <field x="16"/>
    <field x="17"/>
    <field x="18"/>
    <field x="19"/>
    <field x="20"/>
    <field x="22"/>
  </rowFields>
  <rowItems count="4">
    <i>
      <x v="1"/>
      <x v="6"/>
      <x v="11"/>
      <x v="2"/>
      <x v="15"/>
      <x/>
      <x v="1"/>
      <x v="5"/>
      <x v="7"/>
      <x/>
      <x v="1"/>
      <x v="1"/>
    </i>
    <i>
      <x v="2"/>
      <x v="16"/>
      <x v="7"/>
      <x v="3"/>
      <x v="8"/>
      <x v="3"/>
      <x/>
      <x v="10"/>
      <x v="5"/>
      <x v="5"/>
      <x v="5"/>
      <x v="1"/>
    </i>
    <i>
      <x v="3"/>
      <x v="1"/>
      <x v="9"/>
      <x v="5"/>
      <x v="2"/>
      <x/>
      <x/>
      <x v="11"/>
      <x v="5"/>
      <x/>
      <x v="2"/>
      <x v="1"/>
    </i>
    <i>
      <x v="18"/>
      <x v="14"/>
      <x v="14"/>
      <x v="8"/>
      <x v="11"/>
      <x v="8"/>
      <x/>
      <x v="6"/>
      <x v="4"/>
      <x v="8"/>
      <x v="8"/>
      <x v="1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ciónDeDatos_Estado" xr10:uid="{749C59D8-444F-6042-9D16-94B062456973}" sourceName="Estado">
  <pivotTables>
    <pivotTable tabId="11" name="TablaDinámica1"/>
  </pivotTables>
  <data>
    <tabular pivotCacheId="828784586">
      <items count="4">
        <i x="1"/>
        <i x="0" s="1"/>
        <i x="2"/>
        <i x="3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Estado" xr10:uid="{5FE848F1-6B9C-A946-AC08-1AACC1B7ABC9}" cache="SegmentaciónDeDatos_Estado" caption="Estado" columnCount="4" rowHeight="230716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61864D1-3687-7B45-99F4-3AD3C8AF7F2E}" name="Encendido" displayName="Encendido" ref="A1:A3" totalsRowShown="0">
  <autoFilter ref="A1:A3" xr:uid="{361864D1-3687-7B45-99F4-3AD3C8AF7F2E}"/>
  <tableColumns count="1">
    <tableColumn id="1" xr3:uid="{BC46F6BC-89A0-5A46-A445-AB1FC0A0BBD3}" name="Encien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43857778-0566-0541-B1E1-93E5CD46384B}" name="Auriculares" displayName="Auriculares" ref="B1:B4" totalsRowShown="0">
  <autoFilter ref="B1:B4" xr:uid="{43857778-0566-0541-B1E1-93E5CD46384B}"/>
  <tableColumns count="1">
    <tableColumn id="1" xr3:uid="{FD030175-1A12-EE4E-8FBC-E88F8B83F0B0}" name="Auricular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3B1501C-8C6C-CD44-9AEA-03BC875A7F3F}" name="Señales" displayName="Señales" ref="C1:C5" totalsRowShown="0">
  <autoFilter ref="C1:C5" xr:uid="{D3B1501C-8C6C-CD44-9AEA-03BC875A7F3F}"/>
  <tableColumns count="1">
    <tableColumn id="1" xr3:uid="{A2CAF1A0-B1B8-1849-8AFD-01B7DFA051F9}" name="Señal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50D03F0-CA7A-8541-917A-987807FC08E1}" name="Timbres" displayName="Timbres" ref="D1:D4" totalsRowShown="0">
  <autoFilter ref="D1:D4" xr:uid="{950D03F0-CA7A-8541-917A-987807FC08E1}"/>
  <tableColumns count="1">
    <tableColumn id="1" xr3:uid="{60317362-1C80-FD4B-8259-0B10D27C02CC}" name="Altavoz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B7D70C4-03C5-904B-9453-0D28C1C38704}" name="Display" displayName="Display" ref="E1:E7" totalsRowShown="0">
  <autoFilter ref="E1:E7" xr:uid="{6B7D70C4-03C5-904B-9453-0D28C1C38704}"/>
  <tableColumns count="1">
    <tableColumn id="1" xr3:uid="{86E99F04-1C67-0B45-820F-E7B80B6D15A2}" name="Pantalla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63A23F7-EA65-A14D-B56A-ABE2F4B8B390}" name="Pila" displayName="Pila" ref="F1:F7" totalsRowShown="0">
  <autoFilter ref="F1:F7" xr:uid="{B63A23F7-EA65-A14D-B56A-ABE2F4B8B390}"/>
  <tableColumns count="1">
    <tableColumn id="1" xr3:uid="{F6F9EE67-49F9-C14A-A350-EFF880D9B35A}" name="Bateria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365D1CCA-81A6-2940-ACB3-F42E197170F7}" name="Logica" displayName="Logica" ref="G1:G6" totalsRowShown="0">
  <autoFilter ref="G1:G6" xr:uid="{365D1CCA-81A6-2940-ACB3-F42E197170F7}"/>
  <tableColumns count="1">
    <tableColumn id="1" xr3:uid="{94CEB7EB-6322-0943-83A8-587593C48E4F}" name="Sist Carga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FB3BA05-8BD8-1545-8A09-E4C9C140D12A}" name="dbform" displayName="dbform" ref="A1:W22" totalsRowShown="0">
  <autoFilter ref="A1:W22" xr:uid="{0FB3BA05-8BD8-1545-8A09-E4C9C140D12A}"/>
  <tableColumns count="23">
    <tableColumn id="1" xr3:uid="{A61C819F-428C-E341-90DA-205A9314075E}" name="Orden"/>
    <tableColumn id="2" xr3:uid="{7615C513-56DA-1C4C-BB14-30CCFA2BDE3C}" name="Fecha"/>
    <tableColumn id="3" xr3:uid="{A6EE62C7-5F55-574F-BCA6-7EE51816EAC0}" name="Cliente"/>
    <tableColumn id="4" xr3:uid="{CC951458-A390-9C4F-A1F9-0FE419D20C75}" name="Documento"/>
    <tableColumn id="5" xr3:uid="{2E2EDCBC-BEC2-7E45-9CB3-9FA3101304AF}" name="Telefono"/>
    <tableColumn id="6" xr3:uid="{D6F6E623-2C5A-AC41-8431-5E53C54983DC}" name="Marca"/>
    <tableColumn id="7" xr3:uid="{2F414958-13D5-2146-9164-A56AAF76DBE4}" name="Modelo"/>
    <tableColumn id="8" xr3:uid="{E764B48A-4F1E-9B43-9D29-CA00512773DA}" name="Imei"/>
    <tableColumn id="9" xr3:uid="{3C33076C-046F-E84A-A20B-AF03ECBF430E}" name="Enciende"/>
    <tableColumn id="10" xr3:uid="{D7488D7C-BD02-0542-A6ED-5E3068248C8A}" name="Auricular"/>
    <tableColumn id="11" xr3:uid="{4C5B7CE4-0237-B14F-9A79-442C75B814BA}" name="Pin/contraseña"/>
    <tableColumn id="12" xr3:uid="{F27C540B-814A-1A4F-AE95-AB4D2E4786F9}" name="Señal"/>
    <tableColumn id="13" xr3:uid="{AE8C9C00-D63A-264C-AAD0-05FB305DE530}" name="Altavoz"/>
    <tableColumn id="14" xr3:uid="{A666D3F3-33A8-CC45-9E17-23399643423C}" name="Pantalla"/>
    <tableColumn id="15" xr3:uid="{40BB5A04-9E04-214A-B76E-DC67E5AF7A81}" name="Bateria"/>
    <tableColumn id="16" xr3:uid="{334257E9-EAB9-FF49-93D1-9F4A9E9B2A4A}" name="SistCarga"/>
    <tableColumn id="17" xr3:uid="{68EF883A-2356-804E-BCC1-6F502DC446C4}" name="Proceso"/>
    <tableColumn id="18" xr3:uid="{2201248C-E1B7-1D4A-87F8-B1D08D04FB91}" name="Detalles"/>
    <tableColumn id="19" xr3:uid="{C12990A9-A38C-8741-ABB0-6FEEFF6F5718}" name="Total"/>
    <tableColumn id="20" xr3:uid="{11ECC7C9-B070-594A-A88A-E771E3795B1D}" name="Abono"/>
    <tableColumn id="21" xr3:uid="{4F4821A4-3873-AF47-81EF-5E508F3D0D58}" name="Saldo"/>
    <tableColumn id="22" xr3:uid="{3A147309-B736-804F-8281-2E57362AD105}" name="Patron"/>
    <tableColumn id="23" xr3:uid="{053647A3-2BA2-8C4E-A015-4CE1F450C612}" name="Estado" dataDxfId="0">
      <calculatedColumnFormula>IFERROR(_xlfn.XLOOKUP(dbform[[#This Row],[Orden]],dbp!A:A,dbp!D:D),"Sin Procesos")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4408316-2558-8545-9CAC-AE323F8C7418}" name="Tabla9" displayName="Tabla9" ref="A1:D29" totalsRowShown="0">
  <autoFilter ref="A1:D29" xr:uid="{A4408316-2558-8545-9CAC-AE323F8C7418}"/>
  <tableColumns count="4">
    <tableColumn id="1" xr3:uid="{3EA9B4F1-1697-B84C-8E7B-F401E0435518}" name="Orden"/>
    <tableColumn id="2" xr3:uid="{38796A09-7A28-624B-9E9A-8702134E7921}" name="Fecha"/>
    <tableColumn id="3" xr3:uid="{A81D6319-9223-A44E-AB8B-0CD0A350C6EF}" name="Proceso"/>
    <tableColumn id="4" xr3:uid="{879FC1DD-3065-454D-A2FE-328EC589B38B}" name="Estad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9.xml.rels><?xml version="1.0" encoding="UTF-8" standalone="yes"?>
<Relationships xmlns="http://schemas.openxmlformats.org/package/2006/relationships"><Relationship Id="rId3" Type="http://schemas.microsoft.com/office/2007/relationships/slicer" Target="../slicers/slicer1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A253E-4B7D-8342-AC94-F6F4FAEBEF70}">
  <sheetPr codeName="Hoja1"/>
  <dimension ref="A1:AV24"/>
  <sheetViews>
    <sheetView showGridLines="0" workbookViewId="0">
      <selection activeCell="B6" sqref="B6:C6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8" width="5.3984375" customWidth="1"/>
    <col min="9" max="9" width="5" customWidth="1"/>
    <col min="10" max="10" width="7.19921875" customWidth="1"/>
    <col min="11" max="11" width="2.59765625" customWidth="1"/>
    <col min="20" max="20" width="27.59765625" customWidth="1"/>
    <col min="21" max="22" width="23.59765625" customWidth="1"/>
    <col min="23" max="23" width="24" customWidth="1"/>
    <col min="24" max="24" width="28" customWidth="1"/>
    <col min="25" max="25" width="25.796875" customWidth="1"/>
    <col min="26" max="30" width="11" customWidth="1"/>
    <col min="31" max="31" width="11.3984375" customWidth="1"/>
    <col min="32" max="48" width="11" customWidth="1"/>
  </cols>
  <sheetData>
    <row r="1" spans="1:48" x14ac:dyDescent="0.2">
      <c r="A1" s="54" t="s">
        <v>29</v>
      </c>
      <c r="B1" s="54"/>
      <c r="C1" s="54"/>
      <c r="D1" s="54"/>
      <c r="I1" t="s">
        <v>54</v>
      </c>
      <c r="J1">
        <f>MAX(db!A:A)+1</f>
        <v>21</v>
      </c>
      <c r="K1" s="10"/>
      <c r="AA1" s="19" t="s">
        <v>54</v>
      </c>
      <c r="AB1" s="20" t="s">
        <v>55</v>
      </c>
      <c r="AC1" s="20" t="s">
        <v>58</v>
      </c>
      <c r="AD1" s="20" t="s">
        <v>60</v>
      </c>
      <c r="AE1" s="20" t="s">
        <v>61</v>
      </c>
      <c r="AF1" s="20" t="s">
        <v>62</v>
      </c>
      <c r="AG1" s="20" t="s">
        <v>63</v>
      </c>
      <c r="AH1" s="20" t="s">
        <v>64</v>
      </c>
      <c r="AI1" s="20" t="s">
        <v>1</v>
      </c>
      <c r="AJ1" s="20" t="s">
        <v>5</v>
      </c>
      <c r="AK1" s="20" t="s">
        <v>65</v>
      </c>
      <c r="AL1" s="20" t="s">
        <v>2</v>
      </c>
      <c r="AM1" s="20" t="s">
        <v>6</v>
      </c>
      <c r="AN1" s="20" t="s">
        <v>3</v>
      </c>
      <c r="AO1" s="20" t="s">
        <v>7</v>
      </c>
      <c r="AP1" s="20" t="s">
        <v>66</v>
      </c>
      <c r="AQ1" s="20" t="s">
        <v>67</v>
      </c>
      <c r="AR1" s="20" t="s">
        <v>70</v>
      </c>
      <c r="AS1" s="20" t="s">
        <v>51</v>
      </c>
      <c r="AT1" s="20" t="s">
        <v>52</v>
      </c>
      <c r="AU1" s="22" t="s">
        <v>53</v>
      </c>
      <c r="AV1" s="25" t="s">
        <v>84</v>
      </c>
    </row>
    <row r="2" spans="1:48" x14ac:dyDescent="0.2">
      <c r="A2" s="54"/>
      <c r="B2" s="54"/>
      <c r="C2" s="54"/>
      <c r="D2" s="54"/>
      <c r="F2" s="4" t="s">
        <v>42</v>
      </c>
      <c r="G2" t="s">
        <v>30</v>
      </c>
      <c r="K2" s="10"/>
      <c r="AA2">
        <f>J1</f>
        <v>21</v>
      </c>
      <c r="AB2" s="21">
        <f ca="1">B4</f>
        <v>45195</v>
      </c>
      <c r="AC2">
        <f>B6</f>
        <v>0</v>
      </c>
      <c r="AD2">
        <f>E6</f>
        <v>0</v>
      </c>
      <c r="AE2">
        <f>H6</f>
        <v>0</v>
      </c>
      <c r="AF2">
        <f>B8</f>
        <v>0</v>
      </c>
      <c r="AG2">
        <f>E8</f>
        <v>0</v>
      </c>
      <c r="AH2">
        <f>H8</f>
        <v>0</v>
      </c>
      <c r="AI2">
        <f>B10</f>
        <v>0</v>
      </c>
      <c r="AJ2">
        <f>D10</f>
        <v>0</v>
      </c>
      <c r="AK2">
        <f>G10</f>
        <v>0</v>
      </c>
      <c r="AL2">
        <f>B12</f>
        <v>0</v>
      </c>
      <c r="AM2">
        <f>D12</f>
        <v>0</v>
      </c>
      <c r="AN2">
        <f>B14</f>
        <v>0</v>
      </c>
      <c r="AO2">
        <f>D14</f>
        <v>0</v>
      </c>
      <c r="AP2">
        <f>B16</f>
        <v>0</v>
      </c>
      <c r="AQ2">
        <f>A19</f>
        <v>0</v>
      </c>
      <c r="AR2">
        <f>B21</f>
        <v>0</v>
      </c>
      <c r="AS2" s="23">
        <f>B24</f>
        <v>0</v>
      </c>
      <c r="AT2" s="23">
        <f>D24</f>
        <v>0</v>
      </c>
      <c r="AU2" s="23">
        <f>F24</f>
        <v>0</v>
      </c>
      <c r="AV2" t="str">
        <f>F13</f>
        <v>ooooooooo</v>
      </c>
    </row>
    <row r="3" spans="1:48" ht="15" thickBot="1" x14ac:dyDescent="0.25">
      <c r="A3" s="55"/>
      <c r="B3" s="55"/>
      <c r="C3" s="55"/>
      <c r="D3" s="55"/>
      <c r="E3" s="3"/>
      <c r="F3" s="5" t="s">
        <v>43</v>
      </c>
      <c r="G3" s="3" t="s">
        <v>31</v>
      </c>
      <c r="H3" s="3"/>
      <c r="I3" s="3"/>
      <c r="J3" s="3"/>
      <c r="K3" s="10"/>
    </row>
    <row r="4" spans="1:48" ht="15" thickTop="1" x14ac:dyDescent="0.2">
      <c r="A4" s="6" t="s">
        <v>55</v>
      </c>
      <c r="B4" s="61">
        <f ca="1">TODAY()</f>
        <v>45195</v>
      </c>
      <c r="C4" s="61"/>
      <c r="D4" s="18"/>
      <c r="K4" s="10"/>
    </row>
    <row r="5" spans="1:48" x14ac:dyDescent="0.2">
      <c r="K5" s="10"/>
    </row>
    <row r="6" spans="1:48" x14ac:dyDescent="0.2">
      <c r="A6" s="6" t="s">
        <v>58</v>
      </c>
      <c r="B6" s="57"/>
      <c r="C6" s="58"/>
      <c r="D6" s="6" t="s">
        <v>59</v>
      </c>
      <c r="E6" s="57"/>
      <c r="F6" s="57"/>
      <c r="G6" s="6" t="s">
        <v>100</v>
      </c>
      <c r="H6" s="59"/>
      <c r="I6" s="59"/>
      <c r="J6" s="60"/>
      <c r="K6" s="10"/>
    </row>
    <row r="7" spans="1:48" x14ac:dyDescent="0.2">
      <c r="K7" s="10"/>
    </row>
    <row r="8" spans="1:48" x14ac:dyDescent="0.2">
      <c r="A8" s="6" t="s">
        <v>32</v>
      </c>
      <c r="D8" s="6" t="s">
        <v>33</v>
      </c>
      <c r="G8" s="6" t="s">
        <v>34</v>
      </c>
      <c r="H8" s="24"/>
      <c r="K8" s="10"/>
    </row>
    <row r="9" spans="1:48" x14ac:dyDescent="0.2">
      <c r="A9" s="53" t="s">
        <v>0</v>
      </c>
      <c r="B9" s="53"/>
      <c r="C9" s="53"/>
      <c r="D9" s="53"/>
      <c r="E9" s="53"/>
      <c r="F9" s="53"/>
      <c r="G9" s="53"/>
      <c r="H9" s="53"/>
      <c r="I9" s="53"/>
      <c r="J9" s="53"/>
      <c r="K9" s="10"/>
    </row>
    <row r="10" spans="1:48" x14ac:dyDescent="0.2">
      <c r="A10" s="6" t="s">
        <v>35</v>
      </c>
      <c r="B10" s="44"/>
      <c r="C10" s="6" t="s">
        <v>39</v>
      </c>
      <c r="D10" s="44"/>
      <c r="F10" s="6" t="s">
        <v>26</v>
      </c>
      <c r="G10" s="73"/>
      <c r="H10" s="73"/>
      <c r="I10" s="73"/>
      <c r="J10" s="73"/>
      <c r="K10" s="10"/>
    </row>
    <row r="11" spans="1:48" x14ac:dyDescent="0.2">
      <c r="A11" s="6"/>
      <c r="B11" s="2"/>
      <c r="C11" s="6"/>
      <c r="D11" s="2"/>
      <c r="F11" s="1"/>
      <c r="J11" s="13"/>
      <c r="K11" s="10"/>
    </row>
    <row r="12" spans="1:48" x14ac:dyDescent="0.2">
      <c r="A12" s="6" t="s">
        <v>36</v>
      </c>
      <c r="B12" s="44"/>
      <c r="C12" s="6" t="s">
        <v>40</v>
      </c>
      <c r="D12" s="44"/>
      <c r="F12" s="15" t="s">
        <v>46</v>
      </c>
      <c r="G12" s="62" t="s">
        <v>27</v>
      </c>
      <c r="H12" s="64" t="s">
        <v>27</v>
      </c>
      <c r="I12" s="66" t="s">
        <v>27</v>
      </c>
      <c r="J12" s="13"/>
      <c r="K12" s="10"/>
    </row>
    <row r="13" spans="1:48" x14ac:dyDescent="0.2">
      <c r="A13" s="6"/>
      <c r="B13" s="2"/>
      <c r="C13" s="6"/>
      <c r="D13" s="2"/>
      <c r="F13" s="26" t="str">
        <f>_xlfn.CONCAT(G12,H12,I12,G14,H14,I14,G16,H16,I16)</f>
        <v>ooooooooo</v>
      </c>
      <c r="G13" s="63"/>
      <c r="H13" s="65"/>
      <c r="I13" s="67"/>
      <c r="J13" s="13"/>
      <c r="K13" s="10"/>
    </row>
    <row r="14" spans="1:48" x14ac:dyDescent="0.2">
      <c r="A14" s="6" t="s">
        <v>37</v>
      </c>
      <c r="B14" s="44"/>
      <c r="C14" s="6" t="s">
        <v>41</v>
      </c>
      <c r="D14" s="44"/>
      <c r="G14" s="63" t="s">
        <v>27</v>
      </c>
      <c r="H14" s="65" t="s">
        <v>27</v>
      </c>
      <c r="I14" s="67" t="s">
        <v>27</v>
      </c>
      <c r="J14" s="13"/>
      <c r="K14" s="10"/>
    </row>
    <row r="15" spans="1:48" x14ac:dyDescent="0.2">
      <c r="A15" s="6"/>
      <c r="B15" s="2"/>
      <c r="D15" s="2"/>
      <c r="G15" s="63"/>
      <c r="H15" s="65"/>
      <c r="I15" s="67"/>
      <c r="J15" s="13"/>
      <c r="K15" s="10"/>
    </row>
    <row r="16" spans="1:48" x14ac:dyDescent="0.2">
      <c r="A16" s="6" t="s">
        <v>38</v>
      </c>
      <c r="B16" s="44"/>
      <c r="D16" s="2"/>
      <c r="G16" s="63" t="s">
        <v>27</v>
      </c>
      <c r="H16" s="65" t="s">
        <v>27</v>
      </c>
      <c r="I16" s="67" t="s">
        <v>27</v>
      </c>
      <c r="J16" s="13" t="s">
        <v>28</v>
      </c>
      <c r="K16" s="10"/>
    </row>
    <row r="17" spans="1:11" x14ac:dyDescent="0.2">
      <c r="A17" s="7"/>
      <c r="G17" s="68"/>
      <c r="H17" s="69"/>
      <c r="I17" s="72"/>
      <c r="J17" s="13"/>
      <c r="K17" s="10"/>
    </row>
    <row r="18" spans="1:11" x14ac:dyDescent="0.2">
      <c r="A18" s="70" t="s">
        <v>68</v>
      </c>
      <c r="B18" s="70"/>
      <c r="C18" s="70"/>
      <c r="D18" s="70"/>
      <c r="E18" s="70"/>
      <c r="F18" s="70"/>
      <c r="G18" s="70"/>
      <c r="H18" s="70"/>
      <c r="I18" s="70"/>
      <c r="J18" s="71"/>
      <c r="K18" s="10"/>
    </row>
    <row r="19" spans="1:11" x14ac:dyDescent="0.2">
      <c r="A19" s="56"/>
      <c r="B19" s="56"/>
      <c r="C19" s="56"/>
      <c r="D19" s="56"/>
      <c r="E19" s="56"/>
      <c r="F19" s="56"/>
      <c r="G19" s="56"/>
      <c r="H19" s="56"/>
      <c r="I19" s="56"/>
      <c r="J19" s="56"/>
      <c r="K19" s="14"/>
    </row>
    <row r="20" spans="1:11" x14ac:dyDescent="0.2">
      <c r="A20" s="56"/>
      <c r="B20" s="56"/>
      <c r="C20" s="56"/>
      <c r="D20" s="56"/>
      <c r="E20" s="56"/>
      <c r="F20" s="56"/>
      <c r="G20" s="56"/>
      <c r="H20" s="56"/>
      <c r="I20" s="56"/>
      <c r="J20" s="56"/>
      <c r="K20" s="14"/>
    </row>
    <row r="21" spans="1:11" ht="29" customHeight="1" x14ac:dyDescent="0.2">
      <c r="A21" s="7" t="s">
        <v>69</v>
      </c>
      <c r="B21" s="45"/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5" t="s">
        <v>45</v>
      </c>
      <c r="B22" s="35"/>
      <c r="C22" s="35"/>
      <c r="D22" s="35"/>
      <c r="E22" s="35"/>
      <c r="F22" s="35" t="s">
        <v>44</v>
      </c>
      <c r="G22" s="35"/>
      <c r="H22" s="35"/>
      <c r="I22" s="35"/>
      <c r="J22" s="35"/>
      <c r="K22" s="36"/>
    </row>
    <row r="23" spans="1:11" x14ac:dyDescent="0.2">
      <c r="A23" s="16"/>
      <c r="B23" s="16"/>
      <c r="C23" s="16"/>
      <c r="D23" s="16"/>
      <c r="E23" s="16"/>
      <c r="F23" s="16"/>
      <c r="G23" s="49"/>
      <c r="H23" s="49"/>
      <c r="I23" s="49"/>
      <c r="J23" s="49"/>
      <c r="K23" s="50"/>
    </row>
    <row r="24" spans="1:11" ht="15" thickBot="1" x14ac:dyDescent="0.25">
      <c r="A24" s="9" t="s">
        <v>51</v>
      </c>
      <c r="B24" s="46"/>
      <c r="C24" s="9" t="s">
        <v>52</v>
      </c>
      <c r="D24" s="46"/>
      <c r="E24" s="9" t="s">
        <v>53</v>
      </c>
      <c r="F24" s="47">
        <f>D24-B24</f>
        <v>0</v>
      </c>
      <c r="G24" s="51"/>
      <c r="H24" s="51"/>
      <c r="I24" s="51"/>
      <c r="J24" s="51"/>
      <c r="K24" s="52"/>
    </row>
  </sheetData>
  <mergeCells count="19">
    <mergeCell ref="A18:J18"/>
    <mergeCell ref="I16:I17"/>
    <mergeCell ref="G10:J10"/>
    <mergeCell ref="G23:K24"/>
    <mergeCell ref="A9:J9"/>
    <mergeCell ref="A1:D3"/>
    <mergeCell ref="A19:J20"/>
    <mergeCell ref="B6:C6"/>
    <mergeCell ref="E6:F6"/>
    <mergeCell ref="H6:J6"/>
    <mergeCell ref="B4:C4"/>
    <mergeCell ref="G12:G13"/>
    <mergeCell ref="H12:H13"/>
    <mergeCell ref="I12:I13"/>
    <mergeCell ref="G14:G15"/>
    <mergeCell ref="G16:G17"/>
    <mergeCell ref="H14:H15"/>
    <mergeCell ref="I14:I15"/>
    <mergeCell ref="H16:H17"/>
  </mergeCells>
  <conditionalFormatting sqref="G12:I17">
    <cfRule type="colorScale" priority="1">
      <colorScale>
        <cfvo type="min"/>
        <cfvo type="max"/>
        <color theme="1" tint="0.14999847407452621"/>
        <color theme="0" tint="-4.9989318521683403E-2"/>
      </colorScale>
    </cfRule>
  </conditionalFormatting>
  <dataValidations count="7">
    <dataValidation type="list" allowBlank="1" showInputMessage="1" showErrorMessage="1" sqref="B10" xr:uid="{6EE34A5F-3D30-AE4F-8584-8513EA9E6484}">
      <formula1>Enciende</formula1>
    </dataValidation>
    <dataValidation type="list" allowBlank="1" showInputMessage="1" showErrorMessage="1" sqref="D10" xr:uid="{4684D344-89A0-424D-B9DF-490DAC48DCCC}">
      <formula1>Auricular</formula1>
    </dataValidation>
    <dataValidation type="list" allowBlank="1" showInputMessage="1" showErrorMessage="1" sqref="B12" xr:uid="{4B4554E4-AF87-AE4C-A3F1-6395DED74BE6}">
      <formula1>Señal</formula1>
    </dataValidation>
    <dataValidation type="list" allowBlank="1" showInputMessage="1" showErrorMessage="1" sqref="D12" xr:uid="{E9876A73-D01E-A941-AAF4-2FEB82F2753D}">
      <formula1>Altavoz</formula1>
    </dataValidation>
    <dataValidation type="list" allowBlank="1" showInputMessage="1" showErrorMessage="1" sqref="B14" xr:uid="{754E180C-7347-444D-8227-976AE9E6DE4F}">
      <formula1>Pantalla</formula1>
    </dataValidation>
    <dataValidation type="list" allowBlank="1" showInputMessage="1" showErrorMessage="1" sqref="D14" xr:uid="{551A225C-1847-9143-A140-AAA7C0F4A1E5}">
      <formula1>Bateria</formula1>
    </dataValidation>
    <dataValidation type="list" allowBlank="1" showInputMessage="1" showErrorMessage="1" sqref="B16" xr:uid="{E88063D2-E5D3-914C-86D0-4F4F65A3F028}">
      <formula1>SistCarga</formula1>
    </dataValidation>
  </dataValidations>
  <pageMargins left="0" right="0" top="0" bottom="0" header="0" footer="0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3" name="Button 4">
              <controlPr defaultSize="0" print="0" autoFill="0" autoPict="0" macro="[0]!insert1">
                <anchor moveWithCells="1" sizeWithCells="1">
                  <from>
                    <xdr:col>6</xdr:col>
                    <xdr:colOff>101600</xdr:colOff>
                    <xdr:row>25</xdr:row>
                    <xdr:rowOff>12700</xdr:rowOff>
                  </from>
                  <to>
                    <xdr:col>11</xdr:col>
                    <xdr:colOff>0</xdr:colOff>
                    <xdr:row>27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4" name="Button 23">
              <controlPr defaultSize="0" print="0" autoFill="0" autoPict="0" macro="[0]!ImprimirHoja">
                <anchor moveWithCells="1" sizeWithCells="1">
                  <from>
                    <xdr:col>3</xdr:col>
                    <xdr:colOff>381000</xdr:colOff>
                    <xdr:row>25</xdr:row>
                    <xdr:rowOff>38100</xdr:rowOff>
                  </from>
                  <to>
                    <xdr:col>5</xdr:col>
                    <xdr:colOff>482600</xdr:colOff>
                    <xdr:row>27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F7D357-A267-C34A-9389-A11935B63418}">
  <sheetPr codeName="Hoja4"/>
  <dimension ref="A1:O28"/>
  <sheetViews>
    <sheetView showGridLines="0" tabSelected="1" workbookViewId="0">
      <selection activeCell="J2" sqref="J2"/>
    </sheetView>
  </sheetViews>
  <sheetFormatPr baseColWidth="10" defaultRowHeight="14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7.3984375" customWidth="1"/>
    <col min="8" max="9" width="6.3984375" customWidth="1"/>
    <col min="10" max="10" width="7.19921875" customWidth="1"/>
    <col min="11" max="11" width="2.59765625" customWidth="1"/>
    <col min="26" max="27" width="11" customWidth="1"/>
  </cols>
  <sheetData>
    <row r="1" spans="1:15" x14ac:dyDescent="0.2">
      <c r="A1" s="54" t="s">
        <v>29</v>
      </c>
      <c r="B1" s="54"/>
      <c r="C1" s="54"/>
      <c r="D1" s="54"/>
      <c r="I1" t="s">
        <v>54</v>
      </c>
      <c r="J1">
        <v>20</v>
      </c>
      <c r="K1" s="10"/>
      <c r="O1" t="str">
        <f>MID(H18,1,1)</f>
        <v/>
      </c>
    </row>
    <row r="2" spans="1:15" x14ac:dyDescent="0.2">
      <c r="A2" s="54"/>
      <c r="B2" s="54"/>
      <c r="C2" s="54"/>
      <c r="D2" s="54"/>
      <c r="F2" s="4" t="s">
        <v>42</v>
      </c>
      <c r="G2" t="s">
        <v>30</v>
      </c>
      <c r="K2" s="10"/>
    </row>
    <row r="3" spans="1:15" ht="15" thickBot="1" x14ac:dyDescent="0.25">
      <c r="A3" s="55"/>
      <c r="B3" s="55"/>
      <c r="C3" s="55"/>
      <c r="D3" s="55"/>
      <c r="E3" s="3"/>
      <c r="F3" s="5" t="s">
        <v>43</v>
      </c>
      <c r="G3" s="3" t="s">
        <v>31</v>
      </c>
      <c r="H3" s="3"/>
      <c r="I3" s="3"/>
      <c r="J3" s="3"/>
      <c r="K3" s="10"/>
    </row>
    <row r="4" spans="1:15" ht="15" thickTop="1" x14ac:dyDescent="0.2">
      <c r="A4" s="6" t="s">
        <v>55</v>
      </c>
      <c r="B4" s="75">
        <f>_xlfn.XLOOKUP(db!X1,db!A:A,db!B:B,"")</f>
        <v>45195</v>
      </c>
      <c r="C4" s="76"/>
      <c r="D4" s="18"/>
      <c r="K4" s="10"/>
    </row>
    <row r="5" spans="1:15" x14ac:dyDescent="0.2">
      <c r="K5" s="10"/>
    </row>
    <row r="6" spans="1:15" x14ac:dyDescent="0.2">
      <c r="A6" s="6" t="s">
        <v>58</v>
      </c>
      <c r="B6" s="77" t="str">
        <f>_xlfn.XLOOKUP(db!X1,db!A:A,db!C:C,"No Existe")</f>
        <v>Ruben Meza</v>
      </c>
      <c r="C6" s="78"/>
      <c r="D6" s="6" t="s">
        <v>59</v>
      </c>
      <c r="E6" s="77">
        <f>IFERROR(_xlfn.XLOOKUP(db!X1,db!A:A,db!D:D),"")</f>
        <v>1006639196</v>
      </c>
      <c r="F6" s="77"/>
      <c r="G6" s="6" t="s">
        <v>100</v>
      </c>
      <c r="H6" s="79">
        <f>IFERROR(_xlfn.XLOOKUP(db!X1,db!A:A,db!E:E),"")</f>
        <v>3209001525</v>
      </c>
      <c r="I6" s="79"/>
      <c r="J6" s="80"/>
      <c r="K6" s="10"/>
    </row>
    <row r="7" spans="1:15" x14ac:dyDescent="0.2">
      <c r="K7" s="10"/>
    </row>
    <row r="8" spans="1:15" x14ac:dyDescent="0.2">
      <c r="A8" s="6" t="s">
        <v>32</v>
      </c>
      <c r="B8" t="str">
        <f>IFERROR(_xlfn.XLOOKUP(db!X1,db!A:A,db!F:F),"")</f>
        <v>Xiaomi</v>
      </c>
      <c r="D8" s="6" t="s">
        <v>33</v>
      </c>
      <c r="E8" t="str">
        <f>IFERROR(_xlfn.XLOOKUP(db!X1,db!A:A,db!G:G),"")</f>
        <v>Note 10s</v>
      </c>
      <c r="G8" s="6" t="s">
        <v>34</v>
      </c>
      <c r="H8" s="74">
        <f>IFERROR(_xlfn.XLOOKUP(db!X1,db!A:A,db!H:H),"")</f>
        <v>0</v>
      </c>
      <c r="I8" s="74"/>
      <c r="J8" s="74"/>
      <c r="K8" s="10"/>
    </row>
    <row r="9" spans="1:15" x14ac:dyDescent="0.2">
      <c r="A9" s="53" t="s">
        <v>0</v>
      </c>
      <c r="B9" s="53"/>
      <c r="C9" s="53"/>
      <c r="D9" s="53"/>
      <c r="E9" s="53"/>
      <c r="F9" s="53"/>
      <c r="G9" s="53"/>
      <c r="H9" s="53"/>
      <c r="I9" s="53"/>
      <c r="J9" s="53"/>
      <c r="K9" s="10"/>
    </row>
    <row r="10" spans="1:15" x14ac:dyDescent="0.2">
      <c r="A10" s="6" t="s">
        <v>35</v>
      </c>
      <c r="B10" s="27" t="str">
        <f>IFERROR(_xlfn.XLOOKUP(db!X1,db!A:A,db!I:I),"")</f>
        <v>Si</v>
      </c>
      <c r="C10" s="6" t="s">
        <v>39</v>
      </c>
      <c r="D10" s="27" t="str">
        <f>IFERROR(_xlfn.XLOOKUP(db!X1,db!A:A,db!J:J),"")</f>
        <v>SR</v>
      </c>
      <c r="F10" s="6" t="s">
        <v>26</v>
      </c>
      <c r="G10" s="1">
        <f>IFERROR(_xlfn.XLOOKUP(db!X1,db!A:A,db!K:K),"")</f>
        <v>0</v>
      </c>
      <c r="H10" s="1"/>
      <c r="I10" s="1"/>
      <c r="J10" s="1"/>
      <c r="K10" s="10"/>
    </row>
    <row r="11" spans="1:15" x14ac:dyDescent="0.2">
      <c r="A11" s="6"/>
      <c r="B11" s="2"/>
      <c r="C11" s="6"/>
      <c r="D11" s="2"/>
      <c r="F11" s="1"/>
      <c r="J11" s="13"/>
      <c r="K11" s="10"/>
    </row>
    <row r="12" spans="1:15" x14ac:dyDescent="0.2">
      <c r="A12" s="6" t="s">
        <v>36</v>
      </c>
      <c r="B12" s="27" t="str">
        <f>IFERROR(_xlfn.XLOOKUP(db!X1,db!A:A,db!L:L),"")</f>
        <v>SR</v>
      </c>
      <c r="C12" s="6" t="s">
        <v>40</v>
      </c>
      <c r="D12" s="27" t="str">
        <f>IFERROR(_xlfn.XLOOKUP(db!X1,db!A:A,db!M:M),"")</f>
        <v>SR</v>
      </c>
      <c r="F12" s="15" t="s">
        <v>46</v>
      </c>
      <c r="G12" s="81" t="str">
        <f>MID(F13,1,1)</f>
        <v>1</v>
      </c>
      <c r="H12" s="83" t="str">
        <f>MID(F13,2,1)</f>
        <v>o</v>
      </c>
      <c r="I12" s="85" t="str">
        <f>MID(F13,3,1)</f>
        <v>o</v>
      </c>
      <c r="J12" s="13"/>
      <c r="K12" s="10"/>
    </row>
    <row r="13" spans="1:15" x14ac:dyDescent="0.2">
      <c r="A13" s="6"/>
      <c r="B13" s="2"/>
      <c r="C13" s="6"/>
      <c r="D13" s="2"/>
      <c r="F13" s="26" t="str">
        <f>IFERROR(_xlfn.XLOOKUP(db!X1,db!A:A,db!V:V),"")</f>
        <v>1oo2oo345</v>
      </c>
      <c r="G13" s="82"/>
      <c r="H13" s="84"/>
      <c r="I13" s="86"/>
      <c r="J13" s="13"/>
      <c r="K13" s="10"/>
    </row>
    <row r="14" spans="1:15" x14ac:dyDescent="0.2">
      <c r="A14" s="6" t="s">
        <v>37</v>
      </c>
      <c r="B14" s="27" t="str">
        <f>IFERROR(_xlfn.XLOOKUP(db!X1,db!A:A,db!N:N),"")</f>
        <v>Fisurada</v>
      </c>
      <c r="C14" s="6" t="s">
        <v>41</v>
      </c>
      <c r="D14" s="27" t="str">
        <f>IFERROR(_xlfn.XLOOKUP(db!X1,db!A:A,db!O:O),"")</f>
        <v>Optima</v>
      </c>
      <c r="G14" s="82" t="str">
        <f>MID(F13,4,1)</f>
        <v>2</v>
      </c>
      <c r="H14" s="84" t="str">
        <f>MID(F13,5,1)</f>
        <v>o</v>
      </c>
      <c r="I14" s="86" t="str">
        <f>MID(F13,6,1)</f>
        <v>o</v>
      </c>
      <c r="J14" s="13"/>
      <c r="K14" s="10"/>
    </row>
    <row r="15" spans="1:15" x14ac:dyDescent="0.2">
      <c r="A15" s="6"/>
      <c r="B15" s="2"/>
      <c r="D15" s="2"/>
      <c r="G15" s="82"/>
      <c r="H15" s="84"/>
      <c r="I15" s="86"/>
      <c r="J15" s="13"/>
      <c r="K15" s="10"/>
    </row>
    <row r="16" spans="1:15" x14ac:dyDescent="0.2">
      <c r="A16" s="6" t="s">
        <v>38</v>
      </c>
      <c r="B16" s="27" t="str">
        <f>IFERROR(_xlfn.XLOOKUP(db!X1,db!A:A,db!P:P),"")</f>
        <v>Optimo</v>
      </c>
      <c r="D16" s="2"/>
      <c r="G16" s="82" t="str">
        <f>MID(F13,7,1)</f>
        <v>3</v>
      </c>
      <c r="H16" s="84" t="str">
        <f>MID(F13,8,1)</f>
        <v>4</v>
      </c>
      <c r="I16" s="86" t="str">
        <f>MID(F13,9,1)</f>
        <v>5</v>
      </c>
      <c r="J16" s="13" t="s">
        <v>28</v>
      </c>
      <c r="K16" s="10"/>
    </row>
    <row r="17" spans="1:11" x14ac:dyDescent="0.2">
      <c r="A17" s="7"/>
      <c r="G17" s="88"/>
      <c r="H17" s="89"/>
      <c r="I17" s="90"/>
      <c r="J17" s="13"/>
      <c r="K17" s="10"/>
    </row>
    <row r="18" spans="1:11" x14ac:dyDescent="0.2">
      <c r="A18" s="7" t="s">
        <v>68</v>
      </c>
      <c r="J18" s="13"/>
      <c r="K18" s="10"/>
    </row>
    <row r="19" spans="1:11" x14ac:dyDescent="0.2">
      <c r="A19" s="91" t="str">
        <f>IFERROR(_xlfn.XLOOKUP(db!X1,db!A:A,db!Q:Q),"")</f>
        <v>Cambio de Pantalla</v>
      </c>
      <c r="B19" s="91"/>
      <c r="C19" s="91"/>
      <c r="D19" s="91"/>
      <c r="E19" s="91"/>
      <c r="F19" s="91"/>
      <c r="G19" s="91"/>
      <c r="H19" s="91"/>
      <c r="I19" s="91"/>
      <c r="J19" s="91"/>
      <c r="K19" s="14"/>
    </row>
    <row r="20" spans="1:11" x14ac:dyDescent="0.2">
      <c r="A20" s="91"/>
      <c r="B20" s="91"/>
      <c r="C20" s="91"/>
      <c r="D20" s="91"/>
      <c r="E20" s="91"/>
      <c r="F20" s="91"/>
      <c r="G20" s="91"/>
      <c r="H20" s="91"/>
      <c r="I20" s="91"/>
      <c r="J20" s="91"/>
      <c r="K20" s="14"/>
    </row>
    <row r="21" spans="1:11" x14ac:dyDescent="0.2">
      <c r="A21" s="7" t="s">
        <v>69</v>
      </c>
      <c r="B21" s="12" t="str">
        <f>IFERROR(_xlfn.XLOOKUP(db!X1,db!A:A,db!R:R),"")</f>
        <v>Sin simcard ni forro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5" thickBot="1" x14ac:dyDescent="0.25">
      <c r="A22" s="37" t="s">
        <v>45</v>
      </c>
      <c r="B22" s="37"/>
      <c r="C22" s="37"/>
      <c r="D22" s="37"/>
      <c r="E22" s="37"/>
      <c r="F22" s="37" t="s">
        <v>44</v>
      </c>
      <c r="G22" s="37"/>
      <c r="H22" s="37"/>
      <c r="I22" s="37"/>
      <c r="J22" s="37"/>
      <c r="K22" s="38"/>
    </row>
    <row r="23" spans="1:11" x14ac:dyDescent="0.2">
      <c r="A23" s="16"/>
      <c r="B23" s="16"/>
      <c r="C23" s="16"/>
      <c r="D23" s="16"/>
      <c r="E23" s="16"/>
      <c r="F23" s="16"/>
      <c r="G23" s="16"/>
    </row>
    <row r="24" spans="1:11" ht="15" thickBot="1" x14ac:dyDescent="0.25">
      <c r="A24" s="9" t="s">
        <v>51</v>
      </c>
      <c r="B24" s="17">
        <f>IFERROR(_xlfn.XLOOKUP(db!X1,db!A:A,db!S:S),"")</f>
        <v>115000</v>
      </c>
      <c r="C24" s="9" t="s">
        <v>52</v>
      </c>
      <c r="D24" s="17">
        <f>IFERROR(_xlfn.XLOOKUP(db!X1,db!A:A,db!T:T),"")</f>
        <v>115000</v>
      </c>
      <c r="E24" s="9" t="s">
        <v>53</v>
      </c>
      <c r="F24" s="17">
        <f>IFERROR(_xlfn.XLOOKUP(db!X1,db!A:A,db!U:U),"")</f>
        <v>0</v>
      </c>
      <c r="G24" s="9"/>
      <c r="H24" s="7" t="s">
        <v>131</v>
      </c>
      <c r="I24" s="48" t="str">
        <f>IFERROR(_xlfn.XLOOKUP(Consulta!J1,db!A:A,db!W:W),"")</f>
        <v>Entregado</v>
      </c>
    </row>
    <row r="26" spans="1:11" ht="14" customHeight="1" x14ac:dyDescent="0.2">
      <c r="A26" s="92">
        <f>_xlfn.XLOOKUP(dbp!E1,dbp!A:A,dbp!C:C,"")</f>
        <v>0</v>
      </c>
      <c r="B26" s="92"/>
      <c r="C26" s="92"/>
      <c r="D26" s="92"/>
      <c r="E26" s="92"/>
      <c r="F26" s="92"/>
      <c r="G26" s="92"/>
      <c r="H26" s="92"/>
      <c r="I26" s="92"/>
      <c r="J26" s="92"/>
      <c r="K26" s="92"/>
    </row>
    <row r="27" spans="1:11" x14ac:dyDescent="0.2">
      <c r="A27" s="92"/>
      <c r="B27" s="92"/>
      <c r="C27" s="92"/>
      <c r="D27" s="92"/>
      <c r="E27" s="92"/>
      <c r="F27" s="92"/>
      <c r="G27" s="92"/>
      <c r="H27" s="92"/>
      <c r="I27" s="92"/>
      <c r="J27" s="92"/>
      <c r="K27" s="92"/>
    </row>
    <row r="28" spans="1:11" x14ac:dyDescent="0.2">
      <c r="A28" s="6" t="s">
        <v>139</v>
      </c>
      <c r="B28" s="41">
        <f>_xlfn.XLOOKUP(dbp!E1,dbp!A:A,dbp!B:B,"")</f>
        <v>45195.839935879631</v>
      </c>
      <c r="C28" s="6" t="s">
        <v>138</v>
      </c>
      <c r="D28" s="87">
        <f>_xlfn.XLOOKUP(dbp!E1,dbp!A:A,dbp!B:B,"")</f>
        <v>45195.839935879631</v>
      </c>
      <c r="E28" s="87"/>
    </row>
  </sheetData>
  <mergeCells count="19">
    <mergeCell ref="D28:E28"/>
    <mergeCell ref="G16:G17"/>
    <mergeCell ref="H16:H17"/>
    <mergeCell ref="I16:I17"/>
    <mergeCell ref="A19:J20"/>
    <mergeCell ref="A26:K27"/>
    <mergeCell ref="G12:G13"/>
    <mergeCell ref="H12:H13"/>
    <mergeCell ref="I12:I13"/>
    <mergeCell ref="G14:G15"/>
    <mergeCell ref="H14:H15"/>
    <mergeCell ref="I14:I15"/>
    <mergeCell ref="A9:J9"/>
    <mergeCell ref="H8:J8"/>
    <mergeCell ref="A1:D3"/>
    <mergeCell ref="B4:C4"/>
    <mergeCell ref="B6:C6"/>
    <mergeCell ref="E6:F6"/>
    <mergeCell ref="H6:J6"/>
  </mergeCells>
  <conditionalFormatting sqref="G12:I17">
    <cfRule type="colorScale" priority="1">
      <colorScale>
        <cfvo type="min"/>
        <cfvo type="max"/>
        <color rgb="FFFF7128"/>
        <color theme="0"/>
      </colorScale>
    </cfRule>
    <cfRule type="colorScale" priority="2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76F76C-730C-AC44-B468-84580E121696}">
  <sheetPr codeName="Hoja7"/>
  <dimension ref="A1:N14"/>
  <sheetViews>
    <sheetView showGridLines="0" workbookViewId="0">
      <selection activeCell="B1" sqref="B1"/>
    </sheetView>
  </sheetViews>
  <sheetFormatPr baseColWidth="10" defaultRowHeight="14" x14ac:dyDescent="0.2"/>
  <cols>
    <col min="9" max="9" width="14" bestFit="1" customWidth="1"/>
  </cols>
  <sheetData>
    <row r="1" spans="1:14" x14ac:dyDescent="0.2">
      <c r="A1" s="1" t="s">
        <v>54</v>
      </c>
      <c r="B1" s="27"/>
      <c r="H1">
        <f>B1</f>
        <v>0</v>
      </c>
      <c r="I1" s="39">
        <f ca="1">NOW()</f>
        <v>45195.839993634261</v>
      </c>
      <c r="J1">
        <f>A10</f>
        <v>0</v>
      </c>
      <c r="K1">
        <f>D14</f>
        <v>0</v>
      </c>
      <c r="N1" t="s">
        <v>178</v>
      </c>
    </row>
    <row r="2" spans="1:14" x14ac:dyDescent="0.2">
      <c r="N2" t="s">
        <v>179</v>
      </c>
    </row>
    <row r="3" spans="1:14" x14ac:dyDescent="0.2">
      <c r="A3" s="1" t="s">
        <v>58</v>
      </c>
      <c r="B3" s="27" t="str">
        <f>_xlfn.XLOOKUP(db!Y1,db!A:A,db!C:C,"")</f>
        <v/>
      </c>
      <c r="C3" s="40"/>
      <c r="D3" s="1" t="s">
        <v>132</v>
      </c>
      <c r="E3" s="27" t="str">
        <f>_xlfn.XLOOKUP(db!Y1,db!A:A,db!E:E,"")</f>
        <v/>
      </c>
      <c r="N3" t="s">
        <v>180</v>
      </c>
    </row>
    <row r="5" spans="1:14" x14ac:dyDescent="0.2">
      <c r="A5" t="s">
        <v>135</v>
      </c>
      <c r="B5" s="1">
        <f>_xlfn.XLOOKUP(B1,db!A:A,db!G:G,"")</f>
        <v>0</v>
      </c>
      <c r="C5" s="1"/>
      <c r="D5" s="1"/>
      <c r="E5" s="27"/>
    </row>
    <row r="7" spans="1:14" x14ac:dyDescent="0.2">
      <c r="A7" s="1" t="s">
        <v>134</v>
      </c>
      <c r="B7" s="1" t="str">
        <f>_xlfn.XLOOKUP(db!Y1,db!A:A,db!Q:Q,"")</f>
        <v/>
      </c>
      <c r="C7" s="27"/>
      <c r="D7" s="4"/>
    </row>
    <row r="9" spans="1:14" x14ac:dyDescent="0.2">
      <c r="A9" s="1"/>
      <c r="B9" s="1"/>
      <c r="C9" s="1"/>
      <c r="D9" s="1"/>
      <c r="E9" s="1"/>
    </row>
    <row r="10" spans="1:14" x14ac:dyDescent="0.2">
      <c r="A10" s="93"/>
      <c r="B10" s="93"/>
      <c r="C10" s="93"/>
      <c r="D10" s="93"/>
      <c r="E10" s="94"/>
    </row>
    <row r="11" spans="1:14" x14ac:dyDescent="0.2">
      <c r="A11" s="95"/>
      <c r="B11" s="95"/>
      <c r="C11" s="95"/>
      <c r="D11" s="95"/>
      <c r="E11" s="96"/>
    </row>
    <row r="12" spans="1:14" x14ac:dyDescent="0.2">
      <c r="A12" s="95"/>
      <c r="B12" s="95"/>
      <c r="C12" s="95"/>
      <c r="D12" s="95"/>
      <c r="E12" s="96"/>
    </row>
    <row r="13" spans="1:14" x14ac:dyDescent="0.2">
      <c r="A13" s="95"/>
      <c r="B13" s="95"/>
      <c r="C13" s="95"/>
      <c r="D13" s="95"/>
      <c r="E13" s="96"/>
    </row>
    <row r="14" spans="1:14" x14ac:dyDescent="0.2">
      <c r="C14" t="s">
        <v>131</v>
      </c>
      <c r="D14" s="74"/>
      <c r="E14" s="74"/>
    </row>
  </sheetData>
  <mergeCells count="2">
    <mergeCell ref="A10:E13"/>
    <mergeCell ref="D14:E14"/>
  </mergeCells>
  <dataValidations count="1">
    <dataValidation type="list" allowBlank="1" showInputMessage="1" showErrorMessage="1" sqref="D14:E14" xr:uid="{BD676B8C-4409-B14F-A85E-8E53ED1DB354}">
      <formula1>$N$1:$N$3</formula1>
    </dataValidation>
  </dataValidations>
  <pageMargins left="0.7" right="0.7" top="0.75" bottom="0.75" header="0.3" footer="0.3"/>
  <pageSetup orientation="portrait" horizontalDpi="0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9" r:id="rId3" name="Button 1">
              <controlPr defaultSize="0" print="0" autoFill="0" autoPict="0" macro="[0]!registroProceso">
                <anchor moveWithCells="1" sizeWithCells="1">
                  <from>
                    <xdr:col>0</xdr:col>
                    <xdr:colOff>0</xdr:colOff>
                    <xdr:row>15</xdr:row>
                    <xdr:rowOff>165100</xdr:rowOff>
                  </from>
                  <to>
                    <xdr:col>2</xdr:col>
                    <xdr:colOff>127000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361B4-E672-2F44-97B5-AA1B9B71F95C}">
  <sheetPr codeName="Hoja5"/>
  <dimension ref="A1:K54"/>
  <sheetViews>
    <sheetView showGridLines="0" workbookViewId="0">
      <selection activeCell="A51" sqref="A51"/>
    </sheetView>
  </sheetViews>
  <sheetFormatPr baseColWidth="10" defaultRowHeight="13" customHeight="1" x14ac:dyDescent="0.2"/>
  <cols>
    <col min="2" max="2" width="12.59765625" customWidth="1"/>
    <col min="3" max="3" width="12.796875" bestFit="1" customWidth="1"/>
    <col min="4" max="4" width="11.3984375" customWidth="1"/>
    <col min="6" max="6" width="11.59765625" customWidth="1"/>
    <col min="7" max="7" width="3.796875" customWidth="1"/>
    <col min="8" max="8" width="4.59765625" customWidth="1"/>
    <col min="9" max="9" width="6" customWidth="1"/>
    <col min="10" max="10" width="7.19921875" customWidth="1"/>
    <col min="11" max="11" width="2.59765625" customWidth="1"/>
    <col min="26" max="30" width="11" customWidth="1"/>
    <col min="31" max="31" width="11.3984375" customWidth="1"/>
    <col min="32" max="48" width="11" customWidth="1"/>
  </cols>
  <sheetData>
    <row r="1" spans="1:11" ht="13" customHeight="1" x14ac:dyDescent="0.2">
      <c r="A1" s="54" t="s">
        <v>29</v>
      </c>
      <c r="B1" s="54"/>
      <c r="C1" s="54"/>
      <c r="D1" s="54"/>
      <c r="I1" t="s">
        <v>54</v>
      </c>
      <c r="J1">
        <f>Hoja1!J1</f>
        <v>21</v>
      </c>
      <c r="K1" s="10"/>
    </row>
    <row r="2" spans="1:11" ht="13" customHeight="1" x14ac:dyDescent="0.2">
      <c r="A2" s="54"/>
      <c r="B2" s="54"/>
      <c r="C2" s="54"/>
      <c r="D2" s="54"/>
      <c r="F2" s="4" t="s">
        <v>42</v>
      </c>
      <c r="G2" t="s">
        <v>30</v>
      </c>
      <c r="K2" s="10"/>
    </row>
    <row r="3" spans="1:11" ht="13" customHeight="1" thickBot="1" x14ac:dyDescent="0.25">
      <c r="A3" s="55"/>
      <c r="B3" s="55"/>
      <c r="C3" s="55"/>
      <c r="D3" s="55"/>
      <c r="E3" s="3"/>
      <c r="F3" s="5" t="s">
        <v>43</v>
      </c>
      <c r="G3" s="3" t="s">
        <v>31</v>
      </c>
      <c r="H3" s="3"/>
      <c r="I3" s="3"/>
      <c r="J3" s="3"/>
      <c r="K3" s="10"/>
    </row>
    <row r="4" spans="1:11" ht="13" customHeight="1" thickTop="1" x14ac:dyDescent="0.2">
      <c r="A4" s="6" t="s">
        <v>55</v>
      </c>
      <c r="B4" s="61">
        <f ca="1">TODAY()</f>
        <v>45195</v>
      </c>
      <c r="C4" s="61"/>
      <c r="D4" s="18"/>
      <c r="K4" s="10"/>
    </row>
    <row r="5" spans="1:11" ht="13" customHeight="1" x14ac:dyDescent="0.2">
      <c r="K5" s="10"/>
    </row>
    <row r="6" spans="1:11" ht="13" customHeight="1" x14ac:dyDescent="0.2">
      <c r="A6" s="6" t="s">
        <v>58</v>
      </c>
      <c r="B6" s="77">
        <f>Hoja1!B6</f>
        <v>0</v>
      </c>
      <c r="C6" s="78"/>
      <c r="D6" s="6" t="s">
        <v>59</v>
      </c>
      <c r="E6" s="77">
        <f>Hoja1!E6</f>
        <v>0</v>
      </c>
      <c r="F6" s="77"/>
      <c r="G6" s="6" t="s">
        <v>100</v>
      </c>
      <c r="H6" s="79">
        <f>Hoja1!H6</f>
        <v>0</v>
      </c>
      <c r="I6" s="79"/>
      <c r="J6" s="80"/>
      <c r="K6" s="10"/>
    </row>
    <row r="7" spans="1:11" ht="13" customHeight="1" x14ac:dyDescent="0.2">
      <c r="K7" s="10"/>
    </row>
    <row r="8" spans="1:11" ht="13" customHeight="1" x14ac:dyDescent="0.2">
      <c r="A8" s="6" t="s">
        <v>32</v>
      </c>
      <c r="B8">
        <f>Hoja1!B8</f>
        <v>0</v>
      </c>
      <c r="D8" s="6" t="s">
        <v>33</v>
      </c>
      <c r="E8">
        <f>Hoja1!E8</f>
        <v>0</v>
      </c>
      <c r="G8" s="6" t="s">
        <v>34</v>
      </c>
      <c r="H8" s="100">
        <f>Hoja1!H8</f>
        <v>0</v>
      </c>
      <c r="I8" s="74"/>
      <c r="J8" s="74"/>
      <c r="K8" s="10"/>
    </row>
    <row r="9" spans="1:11" ht="13" customHeight="1" x14ac:dyDescent="0.2">
      <c r="A9" s="53" t="s">
        <v>0</v>
      </c>
      <c r="B9" s="53"/>
      <c r="C9" s="53"/>
      <c r="D9" s="53"/>
      <c r="E9" s="53"/>
      <c r="F9" s="53"/>
      <c r="G9" s="53"/>
      <c r="H9" s="53"/>
      <c r="I9" s="53"/>
      <c r="J9" s="53"/>
      <c r="K9" s="10"/>
    </row>
    <row r="10" spans="1:11" ht="13" customHeight="1" x14ac:dyDescent="0.2">
      <c r="A10" s="6" t="s">
        <v>35</v>
      </c>
      <c r="B10" s="8">
        <f>Hoja1!B10</f>
        <v>0</v>
      </c>
      <c r="C10" s="6" t="s">
        <v>39</v>
      </c>
      <c r="D10" s="8">
        <f>Hoja1!D10</f>
        <v>0</v>
      </c>
      <c r="F10" s="6" t="s">
        <v>26</v>
      </c>
      <c r="G10" s="79">
        <f>Hoja1!G10</f>
        <v>0</v>
      </c>
      <c r="H10" s="79"/>
      <c r="I10" s="79"/>
      <c r="J10" s="79"/>
      <c r="K10" s="10"/>
    </row>
    <row r="11" spans="1:11" ht="13" customHeight="1" x14ac:dyDescent="0.2">
      <c r="A11" s="6"/>
      <c r="B11" s="2"/>
      <c r="C11" s="6"/>
      <c r="D11" s="2"/>
      <c r="F11" s="1"/>
      <c r="J11" s="13"/>
      <c r="K11" s="10"/>
    </row>
    <row r="12" spans="1:11" ht="13" customHeight="1" x14ac:dyDescent="0.2">
      <c r="A12" s="6" t="s">
        <v>36</v>
      </c>
      <c r="B12" s="8">
        <f>Hoja1!B12</f>
        <v>0</v>
      </c>
      <c r="C12" s="6" t="s">
        <v>40</v>
      </c>
      <c r="D12" s="8">
        <f>Hoja1!D12</f>
        <v>0</v>
      </c>
      <c r="F12" s="33" t="s">
        <v>46</v>
      </c>
      <c r="G12" s="81" t="str">
        <f>Hoja1!G12</f>
        <v>o</v>
      </c>
      <c r="H12" s="83" t="str">
        <f>Hoja1!H12</f>
        <v>o</v>
      </c>
      <c r="I12" s="85" t="str">
        <f>Hoja1!I12</f>
        <v>o</v>
      </c>
      <c r="J12" s="13"/>
      <c r="K12" s="10"/>
    </row>
    <row r="13" spans="1:11" ht="13" customHeight="1" x14ac:dyDescent="0.2">
      <c r="A13" s="6"/>
      <c r="B13" s="2"/>
      <c r="C13" s="6"/>
      <c r="D13" s="2"/>
      <c r="F13" s="26"/>
      <c r="G13" s="82"/>
      <c r="H13" s="84"/>
      <c r="I13" s="86"/>
      <c r="J13" s="13"/>
      <c r="K13" s="10"/>
    </row>
    <row r="14" spans="1:11" ht="13" customHeight="1" x14ac:dyDescent="0.2">
      <c r="A14" s="6" t="s">
        <v>37</v>
      </c>
      <c r="B14" s="8">
        <f>Hoja1!B14</f>
        <v>0</v>
      </c>
      <c r="C14" s="6" t="s">
        <v>41</v>
      </c>
      <c r="D14" s="8">
        <f>Hoja1!D14</f>
        <v>0</v>
      </c>
      <c r="G14" s="82" t="str">
        <f>Hoja1!G14</f>
        <v>o</v>
      </c>
      <c r="H14" s="84" t="str">
        <f>Hoja1!H14</f>
        <v>o</v>
      </c>
      <c r="I14" s="86" t="str">
        <f>Hoja1!I14</f>
        <v>o</v>
      </c>
      <c r="J14" s="13"/>
      <c r="K14" s="10"/>
    </row>
    <row r="15" spans="1:11" ht="13" customHeight="1" x14ac:dyDescent="0.2">
      <c r="A15" s="6"/>
      <c r="B15" s="2"/>
      <c r="D15" s="2"/>
      <c r="G15" s="82"/>
      <c r="H15" s="84"/>
      <c r="I15" s="86"/>
      <c r="J15" s="13"/>
      <c r="K15" s="10"/>
    </row>
    <row r="16" spans="1:11" ht="13" customHeight="1" x14ac:dyDescent="0.2">
      <c r="A16" s="6" t="s">
        <v>38</v>
      </c>
      <c r="B16" s="8">
        <f>Hoja1!B16</f>
        <v>0</v>
      </c>
      <c r="D16" s="2"/>
      <c r="G16" s="82" t="str">
        <f>Hoja1!G16</f>
        <v>o</v>
      </c>
      <c r="H16" s="84" t="str">
        <f>Hoja1!H16</f>
        <v>o</v>
      </c>
      <c r="I16" s="86" t="str">
        <f>Hoja1!I16</f>
        <v>o</v>
      </c>
      <c r="J16" s="13" t="s">
        <v>28</v>
      </c>
      <c r="K16" s="10"/>
    </row>
    <row r="17" spans="1:11" ht="13" customHeight="1" x14ac:dyDescent="0.2">
      <c r="A17" s="7"/>
      <c r="G17" s="88"/>
      <c r="H17" s="89"/>
      <c r="I17" s="90"/>
      <c r="J17" s="13"/>
      <c r="K17" s="10"/>
    </row>
    <row r="18" spans="1:11" ht="13" customHeight="1" x14ac:dyDescent="0.2">
      <c r="A18" s="70" t="s">
        <v>68</v>
      </c>
      <c r="B18" s="70"/>
      <c r="C18" s="70"/>
      <c r="D18" s="70"/>
      <c r="E18" s="70"/>
      <c r="F18" s="70"/>
      <c r="G18" s="70"/>
      <c r="H18" s="70"/>
      <c r="I18" s="70"/>
      <c r="J18" s="71"/>
      <c r="K18" s="10"/>
    </row>
    <row r="19" spans="1:11" ht="13" customHeight="1" x14ac:dyDescent="0.2">
      <c r="A19" s="99">
        <f>Hoja1!A19</f>
        <v>0</v>
      </c>
      <c r="B19" s="99"/>
      <c r="C19" s="99"/>
      <c r="D19" s="99"/>
      <c r="E19" s="99"/>
      <c r="F19" s="99"/>
      <c r="G19" s="99"/>
      <c r="H19" s="99"/>
      <c r="I19" s="99"/>
      <c r="J19" s="99"/>
      <c r="K19" s="14"/>
    </row>
    <row r="20" spans="1:11" ht="13" customHeight="1" x14ac:dyDescent="0.2">
      <c r="A20" s="99"/>
      <c r="B20" s="99"/>
      <c r="C20" s="99"/>
      <c r="D20" s="99"/>
      <c r="E20" s="99"/>
      <c r="F20" s="99"/>
      <c r="G20" s="99"/>
      <c r="H20" s="99"/>
      <c r="I20" s="99"/>
      <c r="J20" s="99"/>
      <c r="K20" s="14"/>
    </row>
    <row r="21" spans="1:11" ht="13" customHeight="1" x14ac:dyDescent="0.2">
      <c r="A21" s="7" t="s">
        <v>69</v>
      </c>
      <c r="B21" s="12">
        <f>Hoja1!B21</f>
        <v>0</v>
      </c>
      <c r="C21" s="12"/>
      <c r="D21" s="12"/>
      <c r="E21" s="12"/>
      <c r="F21" s="12"/>
      <c r="G21" s="12"/>
      <c r="H21" s="12"/>
      <c r="I21" s="12"/>
      <c r="J21" s="12"/>
      <c r="K21" s="10"/>
    </row>
    <row r="22" spans="1:11" ht="13" customHeight="1" thickBot="1" x14ac:dyDescent="0.25">
      <c r="A22" s="9"/>
      <c r="B22" s="9"/>
      <c r="C22" s="9"/>
      <c r="D22" s="9"/>
      <c r="E22" s="9"/>
      <c r="F22" s="9" t="s">
        <v>44</v>
      </c>
      <c r="G22" s="9"/>
      <c r="H22" s="9"/>
      <c r="I22" s="9"/>
      <c r="J22" s="9"/>
      <c r="K22" s="11"/>
    </row>
    <row r="23" spans="1:11" ht="13" customHeight="1" x14ac:dyDescent="0.2">
      <c r="A23" s="16"/>
      <c r="B23" s="16"/>
      <c r="C23" s="16"/>
      <c r="D23" s="16"/>
      <c r="E23" s="16"/>
      <c r="F23" s="16"/>
      <c r="G23" s="49"/>
      <c r="H23" s="49"/>
      <c r="I23" s="49"/>
      <c r="J23" s="49"/>
      <c r="K23" s="50"/>
    </row>
    <row r="24" spans="1:11" ht="13" customHeight="1" thickBot="1" x14ac:dyDescent="0.25">
      <c r="A24" s="9" t="s">
        <v>51</v>
      </c>
      <c r="B24" s="17">
        <f>Hoja1!B24</f>
        <v>0</v>
      </c>
      <c r="C24" s="9" t="s">
        <v>52</v>
      </c>
      <c r="D24" s="17">
        <f>Hoja1!D24</f>
        <v>0</v>
      </c>
      <c r="E24" s="9" t="s">
        <v>53</v>
      </c>
      <c r="F24" s="17">
        <f>D24-B24</f>
        <v>0</v>
      </c>
      <c r="G24" s="51"/>
      <c r="H24" s="51"/>
      <c r="I24" s="51"/>
      <c r="J24" s="51"/>
      <c r="K24" s="52"/>
    </row>
    <row r="27" spans="1:11" ht="13" customHeight="1" x14ac:dyDescent="0.2">
      <c r="A27" s="34" t="s">
        <v>176</v>
      </c>
    </row>
    <row r="28" spans="1:11" ht="13" customHeight="1" x14ac:dyDescent="0.2">
      <c r="A28" s="34"/>
      <c r="H28" s="74" t="s">
        <v>58</v>
      </c>
      <c r="I28" s="74"/>
      <c r="J28" s="74"/>
      <c r="K28" s="74"/>
    </row>
    <row r="29" spans="1:11" ht="13" customHeight="1" x14ac:dyDescent="0.2">
      <c r="A29" s="54" t="s">
        <v>29</v>
      </c>
      <c r="B29" s="54"/>
      <c r="C29" s="54"/>
      <c r="D29" s="54"/>
      <c r="I29" t="s">
        <v>54</v>
      </c>
      <c r="J29">
        <f>J1</f>
        <v>21</v>
      </c>
      <c r="K29" s="10"/>
    </row>
    <row r="30" spans="1:11" ht="13" customHeight="1" x14ac:dyDescent="0.2">
      <c r="A30" s="54"/>
      <c r="B30" s="54"/>
      <c r="C30" s="54"/>
      <c r="D30" s="54"/>
      <c r="F30" s="4" t="s">
        <v>42</v>
      </c>
      <c r="G30" t="s">
        <v>30</v>
      </c>
      <c r="K30" s="10"/>
    </row>
    <row r="31" spans="1:11" ht="13" customHeight="1" thickBot="1" x14ac:dyDescent="0.25">
      <c r="A31" s="55"/>
      <c r="B31" s="55"/>
      <c r="C31" s="55"/>
      <c r="D31" s="55"/>
      <c r="E31" s="3"/>
      <c r="F31" s="5" t="s">
        <v>43</v>
      </c>
      <c r="G31" s="3" t="s">
        <v>31</v>
      </c>
      <c r="H31" s="3"/>
      <c r="I31" s="3"/>
      <c r="J31" s="3"/>
      <c r="K31" s="10"/>
    </row>
    <row r="32" spans="1:11" ht="13" customHeight="1" thickTop="1" x14ac:dyDescent="0.2">
      <c r="A32" s="6" t="s">
        <v>55</v>
      </c>
      <c r="B32" s="61">
        <f ca="1">B4</f>
        <v>45195</v>
      </c>
      <c r="C32" s="61"/>
      <c r="D32" s="18"/>
      <c r="K32" s="10"/>
    </row>
    <row r="33" spans="1:11" ht="13" customHeight="1" x14ac:dyDescent="0.2">
      <c r="K33" s="10"/>
    </row>
    <row r="34" spans="1:11" ht="13" customHeight="1" x14ac:dyDescent="0.2">
      <c r="A34" s="6" t="s">
        <v>58</v>
      </c>
      <c r="B34" s="77">
        <f>B6</f>
        <v>0</v>
      </c>
      <c r="C34" s="78"/>
      <c r="D34" s="6" t="s">
        <v>59</v>
      </c>
      <c r="E34" s="77">
        <f>E6</f>
        <v>0</v>
      </c>
      <c r="F34" s="77"/>
      <c r="G34" s="6" t="s">
        <v>92</v>
      </c>
      <c r="H34" s="79">
        <f>H6</f>
        <v>0</v>
      </c>
      <c r="I34" s="79"/>
      <c r="J34" s="80"/>
      <c r="K34" s="10"/>
    </row>
    <row r="35" spans="1:11" ht="13" customHeight="1" x14ac:dyDescent="0.2">
      <c r="K35" s="10"/>
    </row>
    <row r="36" spans="1:11" ht="13" customHeight="1" x14ac:dyDescent="0.2">
      <c r="A36" s="6" t="s">
        <v>32</v>
      </c>
      <c r="B36">
        <f>B8</f>
        <v>0</v>
      </c>
      <c r="D36" s="6" t="s">
        <v>33</v>
      </c>
      <c r="E36">
        <f>E8</f>
        <v>0</v>
      </c>
      <c r="G36" s="6" t="s">
        <v>34</v>
      </c>
      <c r="H36" s="24">
        <f>H8</f>
        <v>0</v>
      </c>
      <c r="K36" s="10"/>
    </row>
    <row r="37" spans="1:11" ht="13" customHeight="1" x14ac:dyDescent="0.2">
      <c r="A37" s="53" t="s">
        <v>0</v>
      </c>
      <c r="B37" s="53"/>
      <c r="C37" s="53"/>
      <c r="D37" s="53"/>
      <c r="E37" s="53"/>
      <c r="F37" s="53"/>
      <c r="G37" s="53"/>
      <c r="H37" s="53"/>
      <c r="I37" s="53"/>
      <c r="J37" s="53"/>
      <c r="K37" s="10"/>
    </row>
    <row r="38" spans="1:11" ht="13" customHeight="1" x14ac:dyDescent="0.2">
      <c r="A38" s="6" t="s">
        <v>35</v>
      </c>
      <c r="B38" s="8">
        <f>B10</f>
        <v>0</v>
      </c>
      <c r="C38" s="6" t="s">
        <v>39</v>
      </c>
      <c r="D38" s="8">
        <f>D10</f>
        <v>0</v>
      </c>
      <c r="F38" s="6" t="s">
        <v>26</v>
      </c>
      <c r="G38" s="1">
        <f>G10</f>
        <v>0</v>
      </c>
      <c r="H38" s="1"/>
      <c r="I38" s="1"/>
      <c r="J38" s="1"/>
      <c r="K38" s="10"/>
    </row>
    <row r="39" spans="1:11" ht="13" customHeight="1" x14ac:dyDescent="0.2">
      <c r="A39" s="6"/>
      <c r="B39" s="2"/>
      <c r="C39" s="6"/>
      <c r="D39" s="2"/>
      <c r="F39" s="1"/>
      <c r="J39" s="13"/>
      <c r="K39" s="10"/>
    </row>
    <row r="40" spans="1:11" ht="13" customHeight="1" x14ac:dyDescent="0.2">
      <c r="A40" s="6" t="s">
        <v>36</v>
      </c>
      <c r="B40" s="8">
        <f>B12</f>
        <v>0</v>
      </c>
      <c r="C40" s="6" t="s">
        <v>40</v>
      </c>
      <c r="D40" s="8">
        <f>D12</f>
        <v>0</v>
      </c>
      <c r="F40" s="33" t="s">
        <v>46</v>
      </c>
      <c r="G40" s="81" t="str">
        <f>G12</f>
        <v>o</v>
      </c>
      <c r="H40" s="83" t="str">
        <f>H12</f>
        <v>o</v>
      </c>
      <c r="I40" s="85" t="str">
        <f>I12</f>
        <v>o</v>
      </c>
      <c r="J40" s="13"/>
      <c r="K40" s="10"/>
    </row>
    <row r="41" spans="1:11" ht="13" customHeight="1" x14ac:dyDescent="0.2">
      <c r="A41" s="6"/>
      <c r="B41" s="2"/>
      <c r="C41" s="6"/>
      <c r="D41" s="2"/>
      <c r="F41" s="26"/>
      <c r="G41" s="82"/>
      <c r="H41" s="84"/>
      <c r="I41" s="86"/>
      <c r="J41" s="13"/>
      <c r="K41" s="10"/>
    </row>
    <row r="42" spans="1:11" ht="13" customHeight="1" x14ac:dyDescent="0.2">
      <c r="A42" s="6" t="s">
        <v>37</v>
      </c>
      <c r="B42" s="8">
        <f>B14</f>
        <v>0</v>
      </c>
      <c r="C42" s="6" t="s">
        <v>41</v>
      </c>
      <c r="D42" s="8">
        <f>D14</f>
        <v>0</v>
      </c>
      <c r="G42" s="82" t="str">
        <f>G14</f>
        <v>o</v>
      </c>
      <c r="H42" s="84" t="str">
        <f>H14</f>
        <v>o</v>
      </c>
      <c r="I42" s="86" t="str">
        <f>I14</f>
        <v>o</v>
      </c>
      <c r="J42" s="13"/>
      <c r="K42" s="10"/>
    </row>
    <row r="43" spans="1:11" ht="13" customHeight="1" x14ac:dyDescent="0.2">
      <c r="A43" s="6"/>
      <c r="B43" s="2"/>
      <c r="D43" s="2"/>
      <c r="G43" s="82"/>
      <c r="H43" s="84"/>
      <c r="I43" s="86"/>
      <c r="J43" s="13"/>
      <c r="K43" s="10"/>
    </row>
    <row r="44" spans="1:11" ht="13" customHeight="1" x14ac:dyDescent="0.2">
      <c r="A44" s="6" t="s">
        <v>38</v>
      </c>
      <c r="B44" s="8">
        <f>B16</f>
        <v>0</v>
      </c>
      <c r="D44" s="2"/>
      <c r="G44" s="82" t="str">
        <f>G16</f>
        <v>o</v>
      </c>
      <c r="H44" s="84" t="str">
        <f>H16</f>
        <v>o</v>
      </c>
      <c r="I44" s="86" t="str">
        <f>I16</f>
        <v>o</v>
      </c>
      <c r="J44" s="13" t="s">
        <v>28</v>
      </c>
      <c r="K44" s="10"/>
    </row>
    <row r="45" spans="1:11" ht="13" customHeight="1" x14ac:dyDescent="0.2">
      <c r="A45" s="7"/>
      <c r="G45" s="88"/>
      <c r="H45" s="89"/>
      <c r="I45" s="90"/>
      <c r="J45" s="13"/>
      <c r="K45" s="10"/>
    </row>
    <row r="46" spans="1:11" ht="13" customHeight="1" x14ac:dyDescent="0.2">
      <c r="A46" s="70" t="s">
        <v>68</v>
      </c>
      <c r="B46" s="70"/>
      <c r="C46" s="70"/>
      <c r="D46" s="70"/>
      <c r="E46" s="70"/>
      <c r="F46" s="70"/>
      <c r="G46" s="70"/>
      <c r="H46" s="70"/>
      <c r="I46" s="70"/>
      <c r="J46" s="71"/>
      <c r="K46" s="10"/>
    </row>
    <row r="47" spans="1:11" ht="13" customHeight="1" x14ac:dyDescent="0.2">
      <c r="A47" s="99">
        <f>A19</f>
        <v>0</v>
      </c>
      <c r="B47" s="99"/>
      <c r="C47" s="99"/>
      <c r="D47" s="99"/>
      <c r="E47" s="99"/>
      <c r="F47" s="99"/>
      <c r="G47" s="99"/>
      <c r="H47" s="99"/>
      <c r="I47" s="99"/>
      <c r="J47" s="99"/>
      <c r="K47" s="14"/>
    </row>
    <row r="48" spans="1:11" ht="13" customHeight="1" x14ac:dyDescent="0.2">
      <c r="A48" s="99"/>
      <c r="B48" s="99"/>
      <c r="C48" s="99"/>
      <c r="D48" s="99"/>
      <c r="E48" s="99"/>
      <c r="F48" s="99"/>
      <c r="G48" s="99"/>
      <c r="H48" s="99"/>
      <c r="I48" s="99"/>
      <c r="J48" s="99"/>
      <c r="K48" s="14"/>
    </row>
    <row r="49" spans="1:11" ht="13" customHeight="1" x14ac:dyDescent="0.2">
      <c r="A49" s="7" t="s">
        <v>69</v>
      </c>
      <c r="B49" s="12">
        <f>B21</f>
        <v>0</v>
      </c>
      <c r="C49" s="12"/>
      <c r="D49" s="12"/>
      <c r="E49" s="12"/>
      <c r="F49" s="12"/>
      <c r="G49" s="12"/>
      <c r="H49" s="12"/>
      <c r="I49" s="12"/>
      <c r="J49" s="12"/>
      <c r="K49" s="10"/>
    </row>
    <row r="50" spans="1:11" ht="29" customHeight="1" x14ac:dyDescent="0.2">
      <c r="A50" s="97" t="s">
        <v>177</v>
      </c>
      <c r="B50" s="97"/>
      <c r="C50" s="97"/>
      <c r="D50" s="97"/>
      <c r="E50" s="97"/>
      <c r="F50" s="97"/>
      <c r="G50" s="97"/>
      <c r="H50" s="97"/>
      <c r="I50" s="97"/>
      <c r="J50" s="97"/>
      <c r="K50" s="98"/>
    </row>
    <row r="51" spans="1:11" ht="35" customHeight="1" thickBot="1" x14ac:dyDescent="0.25">
      <c r="A51" s="9" t="s">
        <v>45</v>
      </c>
      <c r="B51" s="9"/>
      <c r="C51" s="9"/>
      <c r="D51" s="9"/>
      <c r="E51" s="9"/>
      <c r="F51" s="9" t="s">
        <v>44</v>
      </c>
      <c r="G51" s="9"/>
      <c r="H51" s="9"/>
      <c r="I51" s="9"/>
      <c r="J51" s="9"/>
      <c r="K51" s="11"/>
    </row>
    <row r="52" spans="1:11" ht="15" customHeight="1" thickBot="1" x14ac:dyDescent="0.25">
      <c r="A52">
        <f>B6</f>
        <v>0</v>
      </c>
      <c r="K52" s="10"/>
    </row>
    <row r="53" spans="1:11" ht="13" customHeight="1" x14ac:dyDescent="0.2">
      <c r="A53" s="16"/>
      <c r="B53" s="16"/>
      <c r="C53" s="16"/>
      <c r="D53" s="16"/>
      <c r="E53" s="16"/>
      <c r="F53" s="16"/>
      <c r="G53" s="49"/>
      <c r="H53" s="49"/>
      <c r="I53" s="49"/>
      <c r="J53" s="49"/>
      <c r="K53" s="50"/>
    </row>
    <row r="54" spans="1:11" ht="13" customHeight="1" thickBot="1" x14ac:dyDescent="0.25">
      <c r="A54" s="9" t="s">
        <v>51</v>
      </c>
      <c r="B54" s="17">
        <f>B24</f>
        <v>0</v>
      </c>
      <c r="C54" s="9" t="s">
        <v>52</v>
      </c>
      <c r="D54" s="17">
        <f>D24</f>
        <v>0</v>
      </c>
      <c r="E54" s="9" t="s">
        <v>53</v>
      </c>
      <c r="F54" s="17">
        <f>D54-B54</f>
        <v>0</v>
      </c>
      <c r="G54" s="51"/>
      <c r="H54" s="51"/>
      <c r="I54" s="51"/>
      <c r="J54" s="51"/>
      <c r="K54" s="52"/>
    </row>
  </sheetData>
  <mergeCells count="40">
    <mergeCell ref="A9:J9"/>
    <mergeCell ref="A18:J18"/>
    <mergeCell ref="A46:J46"/>
    <mergeCell ref="H28:K28"/>
    <mergeCell ref="A1:D3"/>
    <mergeCell ref="B4:C4"/>
    <mergeCell ref="B6:C6"/>
    <mergeCell ref="E6:F6"/>
    <mergeCell ref="H6:J6"/>
    <mergeCell ref="G12:G13"/>
    <mergeCell ref="H12:H13"/>
    <mergeCell ref="I12:I13"/>
    <mergeCell ref="G14:G15"/>
    <mergeCell ref="H14:H15"/>
    <mergeCell ref="I14:I15"/>
    <mergeCell ref="H40:H41"/>
    <mergeCell ref="G40:G41"/>
    <mergeCell ref="I40:I41"/>
    <mergeCell ref="G16:G17"/>
    <mergeCell ref="H16:H17"/>
    <mergeCell ref="I16:I17"/>
    <mergeCell ref="A19:J20"/>
    <mergeCell ref="G23:K24"/>
    <mergeCell ref="A29:D31"/>
    <mergeCell ref="A50:K50"/>
    <mergeCell ref="A47:J48"/>
    <mergeCell ref="G53:K54"/>
    <mergeCell ref="H8:J8"/>
    <mergeCell ref="G10:J10"/>
    <mergeCell ref="G42:G43"/>
    <mergeCell ref="H42:H43"/>
    <mergeCell ref="I42:I43"/>
    <mergeCell ref="G44:G45"/>
    <mergeCell ref="H44:H45"/>
    <mergeCell ref="I44:I45"/>
    <mergeCell ref="B32:C32"/>
    <mergeCell ref="B34:C34"/>
    <mergeCell ref="E34:F34"/>
    <mergeCell ref="H34:J34"/>
    <mergeCell ref="A37:J37"/>
  </mergeCells>
  <conditionalFormatting sqref="G12:I17">
    <cfRule type="colorScale" priority="2">
      <colorScale>
        <cfvo type="min"/>
        <cfvo type="max"/>
        <color rgb="FFFF7128"/>
        <color rgb="FFFFEF9C"/>
      </colorScale>
    </cfRule>
  </conditionalFormatting>
  <conditionalFormatting sqref="G40:I45">
    <cfRule type="colorScale" priority="1">
      <colorScale>
        <cfvo type="min"/>
        <cfvo type="max"/>
        <color rgb="FFFF7128"/>
        <color rgb="FFFFEF9C"/>
      </colorScale>
    </cfRule>
  </conditionalFormatting>
  <pageMargins left="0" right="0" top="0" bottom="0" header="0" footer="0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3C6A2-E90B-2F45-A478-16BB3F4CEC69}">
  <sheetPr codeName="Hoja6"/>
  <dimension ref="A1:C16"/>
  <sheetViews>
    <sheetView workbookViewId="0">
      <selection activeCell="K45" sqref="K45"/>
    </sheetView>
  </sheetViews>
  <sheetFormatPr baseColWidth="10" defaultRowHeight="11" x14ac:dyDescent="0.15"/>
  <cols>
    <col min="1" max="1" width="11" style="28"/>
    <col min="2" max="2" width="1.796875" style="28" customWidth="1"/>
    <col min="3" max="16384" width="11" style="28"/>
  </cols>
  <sheetData>
    <row r="1" spans="1:3" x14ac:dyDescent="0.15">
      <c r="A1" s="101" t="str">
        <f>Hoja1!A1</f>
        <v>Geek Tecnology</v>
      </c>
      <c r="B1" s="101"/>
      <c r="C1" s="101"/>
    </row>
    <row r="2" spans="1:3" x14ac:dyDescent="0.15">
      <c r="A2" s="30" t="str">
        <f>Hoja1!G3</f>
        <v>304 631 3114</v>
      </c>
      <c r="B2" s="30" t="s">
        <v>90</v>
      </c>
      <c r="C2" s="30" t="str">
        <f>Hoja1!G2</f>
        <v>80577811-4</v>
      </c>
    </row>
    <row r="3" spans="1:3" x14ac:dyDescent="0.15">
      <c r="B3" s="28" t="s">
        <v>90</v>
      </c>
    </row>
    <row r="4" spans="1:3" x14ac:dyDescent="0.15">
      <c r="A4" s="31" t="s">
        <v>93</v>
      </c>
    </row>
    <row r="5" spans="1:3" x14ac:dyDescent="0.15">
      <c r="A5" s="28" t="s">
        <v>58</v>
      </c>
      <c r="B5" s="28" t="s">
        <v>90</v>
      </c>
      <c r="C5" s="28">
        <f>Hoja1!B6</f>
        <v>0</v>
      </c>
    </row>
    <row r="6" spans="1:3" x14ac:dyDescent="0.15">
      <c r="A6" s="28" t="s">
        <v>91</v>
      </c>
      <c r="B6" s="28" t="s">
        <v>90</v>
      </c>
      <c r="C6" s="28">
        <f>Hoja1!E6</f>
        <v>0</v>
      </c>
    </row>
    <row r="7" spans="1:3" x14ac:dyDescent="0.15">
      <c r="A7" s="32" t="s">
        <v>92</v>
      </c>
      <c r="B7" s="32" t="s">
        <v>90</v>
      </c>
      <c r="C7" s="32">
        <f>Hoja1!H6</f>
        <v>0</v>
      </c>
    </row>
    <row r="8" spans="1:3" x14ac:dyDescent="0.15">
      <c r="B8" s="28" t="s">
        <v>90</v>
      </c>
    </row>
    <row r="9" spans="1:3" x14ac:dyDescent="0.15">
      <c r="A9" s="28" t="s">
        <v>63</v>
      </c>
      <c r="B9" s="28" t="s">
        <v>90</v>
      </c>
      <c r="C9" s="28">
        <f>Hoja1!E8</f>
        <v>0</v>
      </c>
    </row>
    <row r="10" spans="1:3" x14ac:dyDescent="0.15">
      <c r="A10" s="28" t="s">
        <v>64</v>
      </c>
      <c r="B10" s="28" t="s">
        <v>90</v>
      </c>
      <c r="C10" s="29">
        <f>Hoja1!H8</f>
        <v>0</v>
      </c>
    </row>
    <row r="11" spans="1:3" x14ac:dyDescent="0.15">
      <c r="B11" s="28" t="s">
        <v>90</v>
      </c>
    </row>
    <row r="12" spans="1:3" x14ac:dyDescent="0.15">
      <c r="B12" s="28" t="s">
        <v>90</v>
      </c>
    </row>
    <row r="13" spans="1:3" x14ac:dyDescent="0.15">
      <c r="B13" s="28" t="s">
        <v>90</v>
      </c>
    </row>
    <row r="14" spans="1:3" x14ac:dyDescent="0.15">
      <c r="B14" s="28" t="s">
        <v>90</v>
      </c>
    </row>
    <row r="15" spans="1:3" x14ac:dyDescent="0.15">
      <c r="B15" s="28" t="s">
        <v>90</v>
      </c>
    </row>
    <row r="16" spans="1:3" x14ac:dyDescent="0.15">
      <c r="B16" s="28" t="s">
        <v>90</v>
      </c>
    </row>
  </sheetData>
  <mergeCells count="1">
    <mergeCell ref="A1:C1"/>
  </mergeCells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6CA794-4A2F-614D-9CF5-FD7F528A0154}">
  <sheetPr codeName="Hoja2"/>
  <dimension ref="A1:G7"/>
  <sheetViews>
    <sheetView workbookViewId="0">
      <selection activeCell="C14" sqref="C14"/>
    </sheetView>
  </sheetViews>
  <sheetFormatPr baseColWidth="10" defaultRowHeight="14" x14ac:dyDescent="0.2"/>
  <cols>
    <col min="2" max="2" width="11.19921875" customWidth="1"/>
    <col min="7" max="7" width="11.796875" customWidth="1"/>
  </cols>
  <sheetData>
    <row r="1" spans="1:7" x14ac:dyDescent="0.2">
      <c r="A1" t="s">
        <v>1</v>
      </c>
      <c r="B1" t="s">
        <v>5</v>
      </c>
      <c r="C1" t="s">
        <v>2</v>
      </c>
      <c r="D1" t="s">
        <v>6</v>
      </c>
      <c r="E1" t="s">
        <v>3</v>
      </c>
      <c r="F1" t="s">
        <v>7</v>
      </c>
      <c r="G1" t="s">
        <v>4</v>
      </c>
    </row>
    <row r="2" spans="1:7" x14ac:dyDescent="0.2">
      <c r="A2" t="s">
        <v>8</v>
      </c>
      <c r="B2" t="s">
        <v>10</v>
      </c>
      <c r="C2" t="s">
        <v>12</v>
      </c>
      <c r="D2" t="s">
        <v>10</v>
      </c>
      <c r="E2" t="s">
        <v>15</v>
      </c>
      <c r="F2" t="s">
        <v>19</v>
      </c>
      <c r="G2" t="s">
        <v>21</v>
      </c>
    </row>
    <row r="3" spans="1:7" x14ac:dyDescent="0.2">
      <c r="A3" t="s">
        <v>9</v>
      </c>
      <c r="B3" t="s">
        <v>11</v>
      </c>
      <c r="C3" t="s">
        <v>13</v>
      </c>
      <c r="D3" t="s">
        <v>11</v>
      </c>
      <c r="E3" t="s">
        <v>17</v>
      </c>
      <c r="F3" t="s">
        <v>20</v>
      </c>
      <c r="G3" t="s">
        <v>23</v>
      </c>
    </row>
    <row r="4" spans="1:7" x14ac:dyDescent="0.2">
      <c r="B4" t="s">
        <v>48</v>
      </c>
      <c r="C4" t="s">
        <v>14</v>
      </c>
      <c r="D4" t="s">
        <v>48</v>
      </c>
      <c r="E4" t="s">
        <v>16</v>
      </c>
      <c r="F4" t="s">
        <v>21</v>
      </c>
      <c r="G4" t="s">
        <v>24</v>
      </c>
    </row>
    <row r="5" spans="1:7" x14ac:dyDescent="0.2">
      <c r="C5" t="s">
        <v>48</v>
      </c>
      <c r="E5" t="s">
        <v>18</v>
      </c>
      <c r="F5" t="s">
        <v>22</v>
      </c>
      <c r="G5" t="s">
        <v>25</v>
      </c>
    </row>
    <row r="6" spans="1:7" x14ac:dyDescent="0.2">
      <c r="E6" t="s">
        <v>49</v>
      </c>
      <c r="F6" t="s">
        <v>14</v>
      </c>
      <c r="G6" t="s">
        <v>48</v>
      </c>
    </row>
    <row r="7" spans="1:7" x14ac:dyDescent="0.2">
      <c r="E7" t="s">
        <v>50</v>
      </c>
      <c r="F7" t="s">
        <v>48</v>
      </c>
    </row>
  </sheetData>
  <pageMargins left="0.7" right="0.7" top="0.75" bottom="0.75" header="0.3" footer="0.3"/>
  <pageSetup orientation="portrait" horizontalDpi="0" verticalDpi="0"/>
  <tableParts count="7">
    <tablePart r:id="rId1"/>
    <tablePart r:id="rId2"/>
    <tablePart r:id="rId3"/>
    <tablePart r:id="rId4"/>
    <tablePart r:id="rId5"/>
    <tablePart r:id="rId6"/>
    <tablePart r:id="rId7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FDCB9D-6D18-B14F-92E4-63F6368E0C5F}">
  <sheetPr codeName="Hoja3"/>
  <dimension ref="A1:Y22"/>
  <sheetViews>
    <sheetView workbookViewId="0">
      <selection activeCell="A2" sqref="A2:V2"/>
    </sheetView>
  </sheetViews>
  <sheetFormatPr baseColWidth="10" defaultRowHeight="14" x14ac:dyDescent="0.2"/>
  <cols>
    <col min="1" max="1" width="9.19921875" bestFit="1" customWidth="1"/>
    <col min="2" max="2" width="8.796875" bestFit="1" customWidth="1"/>
    <col min="3" max="3" width="15.59765625" bestFit="1" customWidth="1"/>
    <col min="4" max="4" width="13.19921875" bestFit="1" customWidth="1"/>
    <col min="5" max="5" width="12.3984375" bestFit="1" customWidth="1"/>
    <col min="6" max="6" width="9.3984375" bestFit="1" customWidth="1"/>
    <col min="7" max="7" width="10.19921875" bestFit="1" customWidth="1"/>
    <col min="8" max="8" width="16.59765625" bestFit="1" customWidth="1"/>
    <col min="9" max="9" width="11.19921875" bestFit="1" customWidth="1"/>
    <col min="10" max="10" width="11.3984375" bestFit="1" customWidth="1"/>
    <col min="11" max="11" width="16.796875" bestFit="1" customWidth="1"/>
    <col min="12" max="12" width="8.59765625" bestFit="1" customWidth="1"/>
    <col min="13" max="13" width="10" bestFit="1" customWidth="1"/>
    <col min="14" max="14" width="10.3984375" bestFit="1" customWidth="1"/>
    <col min="15" max="15" width="10" bestFit="1" customWidth="1"/>
    <col min="16" max="16" width="11.59765625" bestFit="1" customWidth="1"/>
    <col min="17" max="17" width="30.796875" bestFit="1" customWidth="1"/>
    <col min="18" max="18" width="27" bestFit="1" customWidth="1"/>
    <col min="19" max="19" width="8.3984375" bestFit="1" customWidth="1"/>
    <col min="20" max="20" width="9.19921875" bestFit="1" customWidth="1"/>
    <col min="21" max="21" width="8.3984375" bestFit="1" customWidth="1"/>
    <col min="22" max="22" width="10.3984375" bestFit="1" customWidth="1"/>
    <col min="23" max="23" width="9.3984375" bestFit="1" customWidth="1"/>
    <col min="24" max="25" width="2.3984375" bestFit="1" customWidth="1"/>
  </cols>
  <sheetData>
    <row r="1" spans="1:25" x14ac:dyDescent="0.2">
      <c r="A1" t="s">
        <v>54</v>
      </c>
      <c r="B1" t="s">
        <v>55</v>
      </c>
      <c r="C1" t="s">
        <v>58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1</v>
      </c>
      <c r="J1" t="s">
        <v>5</v>
      </c>
      <c r="K1" t="s">
        <v>65</v>
      </c>
      <c r="L1" t="s">
        <v>2</v>
      </c>
      <c r="M1" t="s">
        <v>6</v>
      </c>
      <c r="N1" t="s">
        <v>3</v>
      </c>
      <c r="O1" t="s">
        <v>7</v>
      </c>
      <c r="P1" t="s">
        <v>66</v>
      </c>
      <c r="Q1" t="s">
        <v>67</v>
      </c>
      <c r="R1" t="s">
        <v>70</v>
      </c>
      <c r="S1" t="s">
        <v>51</v>
      </c>
      <c r="T1" t="s">
        <v>52</v>
      </c>
      <c r="U1" t="s">
        <v>53</v>
      </c>
      <c r="V1" t="s">
        <v>84</v>
      </c>
      <c r="W1" t="s">
        <v>131</v>
      </c>
      <c r="X1">
        <f>Consulta!J1</f>
        <v>20</v>
      </c>
      <c r="Y1">
        <f>Procesos!B1</f>
        <v>0</v>
      </c>
    </row>
    <row r="2" spans="1:25" x14ac:dyDescent="0.2">
      <c r="A2">
        <v>20</v>
      </c>
      <c r="B2">
        <v>45195</v>
      </c>
      <c r="C2" t="s">
        <v>189</v>
      </c>
      <c r="D2">
        <v>1006639196</v>
      </c>
      <c r="E2">
        <v>3209001525</v>
      </c>
      <c r="F2" t="s">
        <v>71</v>
      </c>
      <c r="G2" t="s">
        <v>190</v>
      </c>
      <c r="H2">
        <v>0</v>
      </c>
      <c r="I2" t="s">
        <v>8</v>
      </c>
      <c r="J2" t="s">
        <v>48</v>
      </c>
      <c r="K2">
        <v>0</v>
      </c>
      <c r="L2" t="s">
        <v>48</v>
      </c>
      <c r="M2" t="s">
        <v>48</v>
      </c>
      <c r="N2" t="s">
        <v>15</v>
      </c>
      <c r="O2" t="s">
        <v>14</v>
      </c>
      <c r="P2" t="s">
        <v>25</v>
      </c>
      <c r="Q2" t="s">
        <v>47</v>
      </c>
      <c r="R2" t="s">
        <v>191</v>
      </c>
      <c r="S2">
        <v>115000</v>
      </c>
      <c r="T2">
        <v>115000</v>
      </c>
      <c r="U2">
        <v>0</v>
      </c>
      <c r="V2" t="s">
        <v>192</v>
      </c>
      <c r="W2" t="str">
        <f>IFERROR(_xlfn.XLOOKUP(dbform[[#This Row],[Orden]],dbp!A:A,dbp!D:D),"Sin Procesos")</f>
        <v>Entregado</v>
      </c>
    </row>
    <row r="3" spans="1:25" x14ac:dyDescent="0.2">
      <c r="W3">
        <f>IFERROR(_xlfn.XLOOKUP(dbform[[#This Row],[Orden]],dbp!A:A,dbp!D:D),"Sin Procesos")</f>
        <v>0</v>
      </c>
    </row>
    <row r="4" spans="1:25" x14ac:dyDescent="0.2">
      <c r="A4">
        <v>19</v>
      </c>
      <c r="B4">
        <v>45193</v>
      </c>
      <c r="C4" t="s">
        <v>184</v>
      </c>
      <c r="D4">
        <v>78322764</v>
      </c>
      <c r="E4">
        <v>0</v>
      </c>
      <c r="F4" t="s">
        <v>186</v>
      </c>
      <c r="G4" t="s">
        <v>187</v>
      </c>
      <c r="H4">
        <v>0</v>
      </c>
      <c r="I4" t="s">
        <v>9</v>
      </c>
      <c r="J4" t="s">
        <v>48</v>
      </c>
      <c r="K4">
        <v>0</v>
      </c>
      <c r="L4" t="s">
        <v>48</v>
      </c>
      <c r="M4" t="s">
        <v>48</v>
      </c>
      <c r="N4" t="s">
        <v>49</v>
      </c>
      <c r="O4" t="s">
        <v>48</v>
      </c>
      <c r="P4" t="s">
        <v>24</v>
      </c>
      <c r="Q4" t="s">
        <v>185</v>
      </c>
      <c r="R4" t="s">
        <v>188</v>
      </c>
      <c r="S4">
        <v>50000</v>
      </c>
      <c r="T4">
        <v>0</v>
      </c>
      <c r="U4">
        <v>-50000</v>
      </c>
      <c r="V4" t="s">
        <v>117</v>
      </c>
      <c r="W4">
        <f>IFERROR(_xlfn.XLOOKUP(dbform[[#This Row],[Orden]],dbp!A:A,dbp!D:D),"Sin Procesos")</f>
        <v>0</v>
      </c>
    </row>
    <row r="5" spans="1:25" x14ac:dyDescent="0.2">
      <c r="A5">
        <v>18</v>
      </c>
      <c r="B5">
        <v>45188</v>
      </c>
      <c r="C5" t="s">
        <v>171</v>
      </c>
      <c r="D5">
        <v>1121972645</v>
      </c>
      <c r="E5">
        <v>3219105712</v>
      </c>
      <c r="F5" t="s">
        <v>123</v>
      </c>
      <c r="G5" t="s">
        <v>124</v>
      </c>
      <c r="H5">
        <v>0</v>
      </c>
      <c r="I5" t="s">
        <v>8</v>
      </c>
      <c r="J5" t="s">
        <v>48</v>
      </c>
      <c r="K5" t="s">
        <v>173</v>
      </c>
      <c r="L5" t="s">
        <v>48</v>
      </c>
      <c r="M5" t="s">
        <v>48</v>
      </c>
      <c r="N5" t="s">
        <v>49</v>
      </c>
      <c r="O5" t="s">
        <v>14</v>
      </c>
      <c r="P5" t="s">
        <v>23</v>
      </c>
      <c r="Q5" t="s">
        <v>172</v>
      </c>
      <c r="R5" t="s">
        <v>104</v>
      </c>
      <c r="S5">
        <v>165000</v>
      </c>
      <c r="T5">
        <v>0</v>
      </c>
      <c r="U5">
        <v>-165000</v>
      </c>
      <c r="V5" t="s">
        <v>117</v>
      </c>
      <c r="W5" t="str">
        <f>IFERROR(_xlfn.XLOOKUP(dbform[[#This Row],[Orden]],dbp!A:A,dbp!D:D),"Sin Procesos")</f>
        <v>Entregado</v>
      </c>
    </row>
    <row r="6" spans="1:25" x14ac:dyDescent="0.2">
      <c r="A6">
        <v>17</v>
      </c>
      <c r="B6">
        <v>45188</v>
      </c>
      <c r="C6" t="s">
        <v>165</v>
      </c>
      <c r="D6">
        <v>22656096</v>
      </c>
      <c r="E6">
        <v>3177960192</v>
      </c>
      <c r="F6" t="s">
        <v>166</v>
      </c>
      <c r="G6" t="s">
        <v>167</v>
      </c>
      <c r="H6" t="s">
        <v>168</v>
      </c>
      <c r="I6" t="s">
        <v>8</v>
      </c>
      <c r="J6" t="s">
        <v>48</v>
      </c>
      <c r="K6" t="s">
        <v>170</v>
      </c>
      <c r="L6" t="s">
        <v>48</v>
      </c>
      <c r="M6" t="s">
        <v>48</v>
      </c>
      <c r="N6" t="s">
        <v>18</v>
      </c>
      <c r="O6" t="s">
        <v>14</v>
      </c>
      <c r="P6" t="s">
        <v>25</v>
      </c>
      <c r="Q6" t="s">
        <v>73</v>
      </c>
      <c r="R6" t="s">
        <v>169</v>
      </c>
      <c r="S6">
        <v>125000</v>
      </c>
      <c r="T6">
        <v>70000</v>
      </c>
      <c r="U6">
        <v>-55000</v>
      </c>
      <c r="V6" t="s">
        <v>117</v>
      </c>
      <c r="W6" t="str">
        <f>IFERROR(_xlfn.XLOOKUP(dbform[[#This Row],[Orden]],dbp!A:A,dbp!D:D),"Sin Procesos")</f>
        <v>Entregado</v>
      </c>
    </row>
    <row r="7" spans="1:25" x14ac:dyDescent="0.2">
      <c r="A7">
        <v>16</v>
      </c>
      <c r="B7">
        <v>45186</v>
      </c>
      <c r="C7" t="s">
        <v>160</v>
      </c>
      <c r="D7">
        <v>1118538907</v>
      </c>
      <c r="E7">
        <v>3209141155</v>
      </c>
      <c r="F7" t="s">
        <v>56</v>
      </c>
      <c r="G7" t="s">
        <v>161</v>
      </c>
      <c r="H7">
        <v>0</v>
      </c>
      <c r="I7" t="s">
        <v>8</v>
      </c>
      <c r="J7">
        <v>0</v>
      </c>
      <c r="K7">
        <v>210809</v>
      </c>
      <c r="L7">
        <v>0</v>
      </c>
      <c r="M7">
        <v>0</v>
      </c>
      <c r="N7">
        <v>0</v>
      </c>
      <c r="O7" t="s">
        <v>14</v>
      </c>
      <c r="P7" t="s">
        <v>25</v>
      </c>
      <c r="Q7" t="s">
        <v>47</v>
      </c>
      <c r="R7" t="s">
        <v>162</v>
      </c>
      <c r="S7">
        <v>125000</v>
      </c>
      <c r="T7">
        <v>0</v>
      </c>
      <c r="U7">
        <v>-125000</v>
      </c>
      <c r="V7" t="s">
        <v>117</v>
      </c>
      <c r="W7" t="str">
        <f>IFERROR(_xlfn.XLOOKUP(dbform[[#This Row],[Orden]],dbp!A:A,dbp!D:D),"Sin Procesos")</f>
        <v>Entregado</v>
      </c>
    </row>
    <row r="8" spans="1:25" x14ac:dyDescent="0.2">
      <c r="A8">
        <v>15</v>
      </c>
      <c r="B8">
        <v>45186</v>
      </c>
      <c r="C8" t="s">
        <v>157</v>
      </c>
      <c r="D8">
        <v>52724902</v>
      </c>
      <c r="E8">
        <v>3013106719</v>
      </c>
      <c r="F8" t="s">
        <v>75</v>
      </c>
      <c r="G8" t="s">
        <v>158</v>
      </c>
      <c r="H8">
        <v>0</v>
      </c>
      <c r="I8" t="s">
        <v>9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 t="s">
        <v>23</v>
      </c>
      <c r="Q8" t="s">
        <v>73</v>
      </c>
      <c r="R8" t="s">
        <v>151</v>
      </c>
      <c r="S8">
        <v>120000</v>
      </c>
      <c r="T8">
        <v>40000</v>
      </c>
      <c r="U8">
        <v>-80000</v>
      </c>
      <c r="V8" t="s">
        <v>117</v>
      </c>
      <c r="W8" t="str">
        <f>IFERROR(_xlfn.XLOOKUP(dbform[[#This Row],[Orden]],dbp!A:A,dbp!D:D),"Sin Procesos")</f>
        <v>Reparado</v>
      </c>
    </row>
    <row r="9" spans="1:25" x14ac:dyDescent="0.2">
      <c r="A9">
        <v>14</v>
      </c>
      <c r="B9">
        <v>45185</v>
      </c>
      <c r="C9" t="s">
        <v>153</v>
      </c>
      <c r="D9">
        <v>1003377494</v>
      </c>
      <c r="E9">
        <v>3209641024</v>
      </c>
      <c r="F9" t="s">
        <v>149</v>
      </c>
      <c r="G9" t="s">
        <v>154</v>
      </c>
      <c r="H9">
        <v>0</v>
      </c>
      <c r="I9" t="s">
        <v>8</v>
      </c>
      <c r="J9" t="s">
        <v>48</v>
      </c>
      <c r="K9">
        <v>1999</v>
      </c>
      <c r="L9" t="s">
        <v>48</v>
      </c>
      <c r="M9" t="s">
        <v>48</v>
      </c>
      <c r="N9" t="s">
        <v>16</v>
      </c>
      <c r="O9" t="s">
        <v>48</v>
      </c>
      <c r="P9" t="s">
        <v>25</v>
      </c>
      <c r="Q9" t="s">
        <v>155</v>
      </c>
      <c r="R9" t="s">
        <v>156</v>
      </c>
      <c r="S9">
        <v>120000</v>
      </c>
      <c r="T9">
        <v>120000</v>
      </c>
      <c r="U9">
        <v>0</v>
      </c>
      <c r="V9" t="s">
        <v>117</v>
      </c>
      <c r="W9" t="str">
        <f>IFERROR(_xlfn.XLOOKUP(dbform[[#This Row],[Orden]],dbp!A:A,dbp!D:D),"Sin Procesos")</f>
        <v>Sin Procesos</v>
      </c>
    </row>
    <row r="10" spans="1:25" x14ac:dyDescent="0.2">
      <c r="A10">
        <v>13</v>
      </c>
      <c r="B10">
        <v>45184</v>
      </c>
      <c r="C10" t="s">
        <v>148</v>
      </c>
      <c r="D10">
        <v>1066509408</v>
      </c>
      <c r="E10">
        <v>3229134023</v>
      </c>
      <c r="F10" t="s">
        <v>149</v>
      </c>
      <c r="G10" t="s">
        <v>150</v>
      </c>
      <c r="H10">
        <v>0</v>
      </c>
      <c r="I10" t="s">
        <v>8</v>
      </c>
      <c r="J10" t="s">
        <v>48</v>
      </c>
      <c r="K10">
        <v>2518</v>
      </c>
      <c r="L10" t="s">
        <v>48</v>
      </c>
      <c r="M10" t="s">
        <v>48</v>
      </c>
      <c r="N10" t="s">
        <v>16</v>
      </c>
      <c r="O10" t="s">
        <v>14</v>
      </c>
      <c r="P10" t="s">
        <v>25</v>
      </c>
      <c r="Q10" t="s">
        <v>73</v>
      </c>
      <c r="R10" t="s">
        <v>151</v>
      </c>
      <c r="S10">
        <v>110000</v>
      </c>
      <c r="T10">
        <v>30000</v>
      </c>
      <c r="U10">
        <v>-80000</v>
      </c>
      <c r="V10" t="s">
        <v>117</v>
      </c>
      <c r="W10" t="str">
        <f>IFERROR(_xlfn.XLOOKUP(dbform[[#This Row],[Orden]],dbp!A:A,dbp!D:D),"Sin Procesos")</f>
        <v>Reparado</v>
      </c>
    </row>
    <row r="11" spans="1:25" x14ac:dyDescent="0.2">
      <c r="A11">
        <v>12</v>
      </c>
      <c r="B11">
        <v>45184</v>
      </c>
      <c r="C11" t="s">
        <v>143</v>
      </c>
      <c r="D11">
        <v>1024580916</v>
      </c>
      <c r="E11">
        <v>3209122563</v>
      </c>
      <c r="F11" t="s">
        <v>75</v>
      </c>
      <c r="G11" t="s">
        <v>144</v>
      </c>
      <c r="H11">
        <v>0</v>
      </c>
      <c r="I11" t="s">
        <v>8</v>
      </c>
      <c r="J11" t="s">
        <v>48</v>
      </c>
      <c r="K11">
        <v>0</v>
      </c>
      <c r="L11" t="s">
        <v>48</v>
      </c>
      <c r="M11" t="s">
        <v>48</v>
      </c>
      <c r="N11" t="s">
        <v>49</v>
      </c>
      <c r="O11" t="s">
        <v>14</v>
      </c>
      <c r="P11" t="s">
        <v>23</v>
      </c>
      <c r="Q11" t="s">
        <v>47</v>
      </c>
      <c r="R11" t="s">
        <v>145</v>
      </c>
      <c r="S11">
        <v>125000</v>
      </c>
      <c r="T11">
        <v>0</v>
      </c>
      <c r="U11">
        <v>-125000</v>
      </c>
      <c r="V11" t="s">
        <v>146</v>
      </c>
      <c r="W11" t="str">
        <f>IFERROR(_xlfn.XLOOKUP(dbform[[#This Row],[Orden]],dbp!A:A,dbp!D:D),"Sin Procesos")</f>
        <v>Reparado</v>
      </c>
    </row>
    <row r="12" spans="1:25" x14ac:dyDescent="0.2">
      <c r="A12">
        <v>11</v>
      </c>
      <c r="B12">
        <v>45184</v>
      </c>
      <c r="C12" t="s">
        <v>128</v>
      </c>
      <c r="D12">
        <v>1124370157</v>
      </c>
      <c r="E12">
        <v>3016079202</v>
      </c>
      <c r="F12" t="s">
        <v>71</v>
      </c>
      <c r="G12" t="s">
        <v>129</v>
      </c>
      <c r="H12">
        <v>0</v>
      </c>
      <c r="I12" t="s">
        <v>8</v>
      </c>
      <c r="J12" t="s">
        <v>48</v>
      </c>
      <c r="K12">
        <v>251403</v>
      </c>
      <c r="L12" t="s">
        <v>48</v>
      </c>
      <c r="M12" t="s">
        <v>48</v>
      </c>
      <c r="N12" t="s">
        <v>18</v>
      </c>
      <c r="O12" t="s">
        <v>14</v>
      </c>
      <c r="P12" t="s">
        <v>25</v>
      </c>
      <c r="Q12" t="s">
        <v>73</v>
      </c>
      <c r="R12" t="s">
        <v>130</v>
      </c>
      <c r="S12">
        <v>125000</v>
      </c>
      <c r="T12">
        <v>0</v>
      </c>
      <c r="U12">
        <v>-125000</v>
      </c>
      <c r="V12" t="s">
        <v>117</v>
      </c>
      <c r="W12" t="str">
        <f>IFERROR(_xlfn.XLOOKUP(dbform[[#This Row],[Orden]],dbp!A:A,dbp!D:D),"Sin Procesos")</f>
        <v>Reparado</v>
      </c>
    </row>
    <row r="13" spans="1:25" x14ac:dyDescent="0.2">
      <c r="A13">
        <v>10</v>
      </c>
      <c r="B13">
        <v>45184</v>
      </c>
      <c r="C13" t="s">
        <v>122</v>
      </c>
      <c r="D13">
        <v>606060606</v>
      </c>
      <c r="E13">
        <v>90900990</v>
      </c>
      <c r="F13" t="s">
        <v>123</v>
      </c>
      <c r="G13" t="s">
        <v>124</v>
      </c>
      <c r="H13" t="s">
        <v>125</v>
      </c>
      <c r="I13" t="s">
        <v>8</v>
      </c>
      <c r="J13" t="s">
        <v>11</v>
      </c>
      <c r="K13">
        <v>0</v>
      </c>
      <c r="L13" t="s">
        <v>13</v>
      </c>
      <c r="M13" t="s">
        <v>11</v>
      </c>
      <c r="N13" t="s">
        <v>49</v>
      </c>
      <c r="O13" t="s">
        <v>21</v>
      </c>
      <c r="P13" t="s">
        <v>24</v>
      </c>
      <c r="Q13" t="s">
        <v>126</v>
      </c>
      <c r="R13">
        <v>0</v>
      </c>
      <c r="S13">
        <v>30000</v>
      </c>
      <c r="T13">
        <v>30000</v>
      </c>
      <c r="U13">
        <v>0</v>
      </c>
      <c r="V13" t="s">
        <v>127</v>
      </c>
      <c r="W13" t="str">
        <f>IFERROR(_xlfn.XLOOKUP(dbform[[#This Row],[Orden]],dbp!A:A,dbp!D:D),"Sin Procesos")</f>
        <v>Reparado</v>
      </c>
    </row>
    <row r="14" spans="1:25" x14ac:dyDescent="0.2">
      <c r="A14">
        <v>9</v>
      </c>
      <c r="B14">
        <v>45184</v>
      </c>
      <c r="C14" t="s">
        <v>118</v>
      </c>
      <c r="D14">
        <v>20202020</v>
      </c>
      <c r="E14">
        <v>3040340304</v>
      </c>
      <c r="F14" t="s">
        <v>56</v>
      </c>
      <c r="G14" t="s">
        <v>57</v>
      </c>
      <c r="H14" t="s">
        <v>119</v>
      </c>
      <c r="I14" t="s">
        <v>8</v>
      </c>
      <c r="J14" t="s">
        <v>10</v>
      </c>
      <c r="K14">
        <v>0</v>
      </c>
      <c r="L14" t="s">
        <v>48</v>
      </c>
      <c r="M14" t="s">
        <v>10</v>
      </c>
      <c r="N14" t="s">
        <v>49</v>
      </c>
      <c r="O14" t="s">
        <v>14</v>
      </c>
      <c r="P14" t="s">
        <v>24</v>
      </c>
      <c r="Q14" t="s">
        <v>109</v>
      </c>
      <c r="R14" t="s">
        <v>120</v>
      </c>
      <c r="S14">
        <v>0</v>
      </c>
      <c r="T14">
        <v>0</v>
      </c>
      <c r="U14">
        <v>0</v>
      </c>
      <c r="V14" t="s">
        <v>121</v>
      </c>
      <c r="W14" t="str">
        <f>IFERROR(_xlfn.XLOOKUP(dbform[[#This Row],[Orden]],dbp!A:A,dbp!D:D),"Sin Procesos")</f>
        <v>Sin Procesos</v>
      </c>
    </row>
    <row r="15" spans="1:25" x14ac:dyDescent="0.2">
      <c r="A15">
        <v>8</v>
      </c>
      <c r="B15">
        <v>45184</v>
      </c>
      <c r="C15" t="s">
        <v>111</v>
      </c>
      <c r="D15">
        <v>346587</v>
      </c>
      <c r="E15">
        <v>308907060</v>
      </c>
      <c r="F15" t="s">
        <v>112</v>
      </c>
      <c r="G15" t="s">
        <v>113</v>
      </c>
      <c r="H15" t="s">
        <v>114</v>
      </c>
      <c r="I15" t="s">
        <v>8</v>
      </c>
      <c r="J15" t="s">
        <v>11</v>
      </c>
      <c r="K15">
        <v>0</v>
      </c>
      <c r="L15" t="s">
        <v>14</v>
      </c>
      <c r="M15" t="s">
        <v>10</v>
      </c>
      <c r="N15" t="s">
        <v>50</v>
      </c>
      <c r="O15" t="s">
        <v>14</v>
      </c>
      <c r="P15" t="s">
        <v>25</v>
      </c>
      <c r="Q15" t="s">
        <v>115</v>
      </c>
      <c r="R15" t="s">
        <v>116</v>
      </c>
      <c r="S15">
        <v>180000</v>
      </c>
      <c r="T15">
        <v>80000</v>
      </c>
      <c r="U15">
        <v>-100000</v>
      </c>
      <c r="V15" t="s">
        <v>117</v>
      </c>
      <c r="W15" t="str">
        <f>IFERROR(_xlfn.XLOOKUP(dbform[[#This Row],[Orden]],dbp!A:A,dbp!D:D),"Sin Procesos")</f>
        <v>Sin Procesos</v>
      </c>
    </row>
    <row r="16" spans="1:25" x14ac:dyDescent="0.2">
      <c r="A16">
        <v>7</v>
      </c>
      <c r="B16">
        <v>45184</v>
      </c>
      <c r="C16" t="s">
        <v>105</v>
      </c>
      <c r="D16">
        <v>907068</v>
      </c>
      <c r="E16">
        <v>3224156755</v>
      </c>
      <c r="F16" t="s">
        <v>107</v>
      </c>
      <c r="G16" t="s">
        <v>106</v>
      </c>
      <c r="H16" t="s">
        <v>108</v>
      </c>
      <c r="I16" t="s">
        <v>8</v>
      </c>
      <c r="J16" t="s">
        <v>48</v>
      </c>
      <c r="K16">
        <v>0</v>
      </c>
      <c r="L16" t="s">
        <v>48</v>
      </c>
      <c r="M16" t="s">
        <v>10</v>
      </c>
      <c r="N16" t="s">
        <v>49</v>
      </c>
      <c r="O16" t="s">
        <v>14</v>
      </c>
      <c r="P16" t="s">
        <v>23</v>
      </c>
      <c r="Q16" t="s">
        <v>109</v>
      </c>
      <c r="R16" t="s">
        <v>110</v>
      </c>
      <c r="S16">
        <v>350000</v>
      </c>
      <c r="T16">
        <v>300000</v>
      </c>
      <c r="U16">
        <v>-50000</v>
      </c>
      <c r="V16">
        <v>0</v>
      </c>
      <c r="W16" t="str">
        <f>IFERROR(_xlfn.XLOOKUP(dbform[[#This Row],[Orden]],dbp!A:A,dbp!D:D),"Sin Procesos")</f>
        <v>Sin Procesos</v>
      </c>
    </row>
    <row r="17" spans="1:23" x14ac:dyDescent="0.2">
      <c r="A17">
        <v>6</v>
      </c>
      <c r="B17">
        <v>45184</v>
      </c>
      <c r="C17" t="s">
        <v>99</v>
      </c>
      <c r="D17">
        <v>80677812</v>
      </c>
      <c r="E17">
        <v>3046313114</v>
      </c>
      <c r="F17" t="s">
        <v>75</v>
      </c>
      <c r="G17" t="s">
        <v>101</v>
      </c>
      <c r="H17" t="s">
        <v>102</v>
      </c>
      <c r="I17" t="s">
        <v>8</v>
      </c>
      <c r="J17" t="s">
        <v>10</v>
      </c>
      <c r="K17">
        <v>0</v>
      </c>
      <c r="L17" t="s">
        <v>14</v>
      </c>
      <c r="M17" t="s">
        <v>10</v>
      </c>
      <c r="N17" t="s">
        <v>50</v>
      </c>
      <c r="O17" t="s">
        <v>14</v>
      </c>
      <c r="P17" t="s">
        <v>25</v>
      </c>
      <c r="Q17" t="s">
        <v>103</v>
      </c>
      <c r="R17" t="s">
        <v>104</v>
      </c>
      <c r="S17">
        <v>30000</v>
      </c>
      <c r="T17">
        <v>15000</v>
      </c>
      <c r="U17">
        <v>-15000</v>
      </c>
      <c r="V17" t="s">
        <v>89</v>
      </c>
      <c r="W17" t="str">
        <f>IFERROR(_xlfn.XLOOKUP(dbform[[#This Row],[Orden]],dbp!A:A,dbp!D:D),"Sin Procesos")</f>
        <v>Sin Procesos</v>
      </c>
    </row>
    <row r="18" spans="1:23" x14ac:dyDescent="0.2">
      <c r="A18">
        <v>5</v>
      </c>
      <c r="B18">
        <v>45184</v>
      </c>
      <c r="C18" t="s">
        <v>87</v>
      </c>
      <c r="D18">
        <v>80577811</v>
      </c>
      <c r="E18">
        <v>3046313114</v>
      </c>
      <c r="F18" t="s">
        <v>94</v>
      </c>
      <c r="G18" t="s">
        <v>95</v>
      </c>
      <c r="H18" t="s">
        <v>96</v>
      </c>
      <c r="I18" t="s">
        <v>8</v>
      </c>
      <c r="J18" t="s">
        <v>10</v>
      </c>
      <c r="K18">
        <v>908070</v>
      </c>
      <c r="L18" t="s">
        <v>14</v>
      </c>
      <c r="M18" t="s">
        <v>10</v>
      </c>
      <c r="N18" t="s">
        <v>50</v>
      </c>
      <c r="O18" t="s">
        <v>14</v>
      </c>
      <c r="P18" t="s">
        <v>25</v>
      </c>
      <c r="Q18" t="s">
        <v>97</v>
      </c>
      <c r="R18" t="s">
        <v>98</v>
      </c>
      <c r="S18">
        <v>20000</v>
      </c>
      <c r="T18">
        <v>20000</v>
      </c>
      <c r="U18">
        <v>0</v>
      </c>
      <c r="V18" t="s">
        <v>89</v>
      </c>
      <c r="W18" t="str">
        <f>IFERROR(_xlfn.XLOOKUP(dbform[[#This Row],[Orden]],dbp!A:A,dbp!D:D),"Sin Procesos")</f>
        <v>Sin Procesos</v>
      </c>
    </row>
    <row r="19" spans="1:23" x14ac:dyDescent="0.2">
      <c r="A19">
        <v>4</v>
      </c>
      <c r="B19">
        <v>45180</v>
      </c>
      <c r="C19" t="s">
        <v>87</v>
      </c>
      <c r="D19">
        <v>80577811</v>
      </c>
      <c r="E19">
        <v>30346313114</v>
      </c>
      <c r="F19">
        <v>0</v>
      </c>
      <c r="G19">
        <v>0</v>
      </c>
      <c r="H19">
        <v>0</v>
      </c>
      <c r="I19" t="s">
        <v>8</v>
      </c>
      <c r="J19" t="s">
        <v>48</v>
      </c>
      <c r="K19">
        <v>0</v>
      </c>
      <c r="L19" t="s">
        <v>48</v>
      </c>
      <c r="M19" t="s">
        <v>48</v>
      </c>
      <c r="N19" t="s">
        <v>16</v>
      </c>
      <c r="O19" t="s">
        <v>14</v>
      </c>
      <c r="P19" t="s">
        <v>25</v>
      </c>
      <c r="Q19" t="s">
        <v>47</v>
      </c>
      <c r="R19" t="s">
        <v>88</v>
      </c>
      <c r="S19">
        <v>800000</v>
      </c>
      <c r="T19">
        <v>800000</v>
      </c>
      <c r="U19">
        <v>0</v>
      </c>
      <c r="V19" t="s">
        <v>89</v>
      </c>
      <c r="W19" t="str">
        <f>IFERROR(_xlfn.XLOOKUP(dbform[[#This Row],[Orden]],dbp!A:A,dbp!D:D),"Sin Procesos")</f>
        <v>Sin Procesos</v>
      </c>
    </row>
    <row r="20" spans="1:23" x14ac:dyDescent="0.2">
      <c r="A20">
        <v>3</v>
      </c>
      <c r="B20">
        <v>45180</v>
      </c>
      <c r="C20" t="s">
        <v>80</v>
      </c>
      <c r="D20">
        <v>6235612</v>
      </c>
      <c r="E20">
        <v>32364561253</v>
      </c>
      <c r="F20" t="s">
        <v>75</v>
      </c>
      <c r="G20" t="s">
        <v>81</v>
      </c>
      <c r="H20" t="s">
        <v>82</v>
      </c>
      <c r="I20" t="s">
        <v>8</v>
      </c>
      <c r="J20" t="s">
        <v>48</v>
      </c>
      <c r="K20">
        <v>0</v>
      </c>
      <c r="L20" t="s">
        <v>48</v>
      </c>
      <c r="M20" t="s">
        <v>48</v>
      </c>
      <c r="N20" t="s">
        <v>49</v>
      </c>
      <c r="O20" t="s">
        <v>14</v>
      </c>
      <c r="P20" t="s">
        <v>25</v>
      </c>
      <c r="Q20" t="s">
        <v>73</v>
      </c>
      <c r="R20" t="s">
        <v>83</v>
      </c>
      <c r="S20">
        <v>1500000</v>
      </c>
      <c r="T20">
        <v>1000000</v>
      </c>
      <c r="U20">
        <v>-500000</v>
      </c>
      <c r="V20">
        <v>123456789</v>
      </c>
      <c r="W20" t="str">
        <f>IFERROR(_xlfn.XLOOKUP(dbform[[#This Row],[Orden]],dbp!A:A,dbp!D:D),"Sin Procesos")</f>
        <v>Sin Procesos</v>
      </c>
    </row>
    <row r="21" spans="1:23" x14ac:dyDescent="0.2">
      <c r="A21">
        <v>2</v>
      </c>
      <c r="B21">
        <v>45180</v>
      </c>
      <c r="C21" t="s">
        <v>78</v>
      </c>
      <c r="D21">
        <v>8127643</v>
      </c>
      <c r="E21">
        <v>687523</v>
      </c>
      <c r="F21" t="s">
        <v>56</v>
      </c>
      <c r="G21" t="s">
        <v>57</v>
      </c>
      <c r="H21" t="s">
        <v>79</v>
      </c>
      <c r="I21" t="s">
        <v>8</v>
      </c>
      <c r="J21" t="s">
        <v>48</v>
      </c>
      <c r="K21">
        <v>0</v>
      </c>
      <c r="L21" t="s">
        <v>48</v>
      </c>
      <c r="M21" t="s">
        <v>48</v>
      </c>
      <c r="N21" t="s">
        <v>16</v>
      </c>
      <c r="O21" t="s">
        <v>14</v>
      </c>
      <c r="P21" t="s">
        <v>25</v>
      </c>
      <c r="Q21" t="s">
        <v>73</v>
      </c>
      <c r="R21" t="s">
        <v>74</v>
      </c>
      <c r="S21">
        <v>150000</v>
      </c>
      <c r="T21">
        <v>100000</v>
      </c>
      <c r="U21">
        <v>-50000</v>
      </c>
      <c r="V21" t="s">
        <v>85</v>
      </c>
      <c r="W21" t="str">
        <f>IFERROR(_xlfn.XLOOKUP(dbform[[#This Row],[Orden]],dbp!A:A,dbp!D:D),"Sin Procesos")</f>
        <v>Sin Procesos</v>
      </c>
    </row>
    <row r="22" spans="1:23" x14ac:dyDescent="0.2">
      <c r="A22">
        <v>1</v>
      </c>
      <c r="B22">
        <v>45180</v>
      </c>
      <c r="C22" t="s">
        <v>76</v>
      </c>
      <c r="D22">
        <v>46918236</v>
      </c>
      <c r="E22">
        <v>8613489612</v>
      </c>
      <c r="F22" t="s">
        <v>71</v>
      </c>
      <c r="G22" t="s">
        <v>72</v>
      </c>
      <c r="H22" t="s">
        <v>77</v>
      </c>
      <c r="I22" t="s">
        <v>8</v>
      </c>
      <c r="J22" t="s">
        <v>10</v>
      </c>
      <c r="K22">
        <v>0</v>
      </c>
      <c r="L22" t="s">
        <v>14</v>
      </c>
      <c r="M22" t="s">
        <v>48</v>
      </c>
      <c r="N22" t="s">
        <v>16</v>
      </c>
      <c r="O22" t="s">
        <v>14</v>
      </c>
      <c r="P22" t="s">
        <v>25</v>
      </c>
      <c r="Q22" t="s">
        <v>73</v>
      </c>
      <c r="R22" t="s">
        <v>74</v>
      </c>
      <c r="S22">
        <v>120000</v>
      </c>
      <c r="T22">
        <v>120000</v>
      </c>
      <c r="U22">
        <v>0</v>
      </c>
      <c r="V22" t="s">
        <v>86</v>
      </c>
      <c r="W22" t="str">
        <f>IFERROR(_xlfn.XLOOKUP(dbform[[#This Row],[Orden]],dbp!A:A,dbp!D:D),"Sin Procesos")</f>
        <v>Entregado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030DA8-910D-434C-8E7E-D7A1D81DD570}">
  <sheetPr codeName="Hoja8"/>
  <dimension ref="A1:E28"/>
  <sheetViews>
    <sheetView workbookViewId="0">
      <selection activeCell="A2" sqref="A2"/>
    </sheetView>
  </sheetViews>
  <sheetFormatPr baseColWidth="10" defaultRowHeight="14" x14ac:dyDescent="0.2"/>
  <cols>
    <col min="1" max="1" width="9.19921875" bestFit="1" customWidth="1"/>
    <col min="2" max="2" width="14" bestFit="1" customWidth="1"/>
    <col min="3" max="3" width="53.19921875" bestFit="1" customWidth="1"/>
    <col min="5" max="5" width="3.3984375" bestFit="1" customWidth="1"/>
  </cols>
  <sheetData>
    <row r="1" spans="1:5" x14ac:dyDescent="0.2">
      <c r="A1" t="s">
        <v>54</v>
      </c>
      <c r="B1" t="s">
        <v>55</v>
      </c>
      <c r="C1" t="s">
        <v>67</v>
      </c>
      <c r="D1" t="s">
        <v>131</v>
      </c>
      <c r="E1">
        <f>Consulta!J1</f>
        <v>20</v>
      </c>
    </row>
    <row r="2" spans="1:5" x14ac:dyDescent="0.2">
      <c r="B2" s="39"/>
    </row>
    <row r="3" spans="1:5" x14ac:dyDescent="0.2">
      <c r="A3">
        <v>20</v>
      </c>
      <c r="B3" s="39">
        <v>45195.839935879631</v>
      </c>
      <c r="C3">
        <v>0</v>
      </c>
      <c r="D3" t="s">
        <v>179</v>
      </c>
    </row>
    <row r="4" spans="1:5" x14ac:dyDescent="0.2">
      <c r="B4" s="39"/>
    </row>
    <row r="5" spans="1:5" x14ac:dyDescent="0.2">
      <c r="A5">
        <v>19</v>
      </c>
      <c r="B5" s="39">
        <v>45195.839123611113</v>
      </c>
      <c r="C5" t="s">
        <v>195</v>
      </c>
      <c r="D5">
        <v>0</v>
      </c>
    </row>
    <row r="6" spans="1:5" x14ac:dyDescent="0.2">
      <c r="B6" s="39"/>
    </row>
    <row r="7" spans="1:5" x14ac:dyDescent="0.2">
      <c r="A7">
        <v>20</v>
      </c>
      <c r="B7" s="39">
        <v>45195.765503356481</v>
      </c>
      <c r="C7" t="s">
        <v>194</v>
      </c>
      <c r="D7">
        <v>0</v>
      </c>
    </row>
    <row r="8" spans="1:5" x14ac:dyDescent="0.2">
      <c r="B8" s="39"/>
    </row>
    <row r="9" spans="1:5" x14ac:dyDescent="0.2">
      <c r="A9">
        <v>20</v>
      </c>
      <c r="B9" s="39">
        <v>45195.735324189816</v>
      </c>
      <c r="C9" t="s">
        <v>193</v>
      </c>
      <c r="D9">
        <v>0</v>
      </c>
    </row>
    <row r="10" spans="1:5" x14ac:dyDescent="0.2">
      <c r="B10" s="39"/>
    </row>
    <row r="11" spans="1:5" x14ac:dyDescent="0.2">
      <c r="A11">
        <v>18</v>
      </c>
      <c r="B11" s="39">
        <v>45192.264322916664</v>
      </c>
      <c r="C11" t="s">
        <v>183</v>
      </c>
      <c r="D11" t="s">
        <v>179</v>
      </c>
    </row>
    <row r="12" spans="1:5" x14ac:dyDescent="0.2">
      <c r="B12" s="39"/>
    </row>
    <row r="13" spans="1:5" x14ac:dyDescent="0.2">
      <c r="A13">
        <v>18</v>
      </c>
      <c r="B13" s="39">
        <v>45192.262791203706</v>
      </c>
      <c r="C13" t="s">
        <v>182</v>
      </c>
      <c r="D13" t="s">
        <v>180</v>
      </c>
    </row>
    <row r="14" spans="1:5" x14ac:dyDescent="0.2">
      <c r="B14" s="39"/>
    </row>
    <row r="15" spans="1:5" x14ac:dyDescent="0.2">
      <c r="A15">
        <v>18</v>
      </c>
      <c r="B15" s="39">
        <v>45192.262096296297</v>
      </c>
      <c r="C15" t="s">
        <v>181</v>
      </c>
      <c r="D15" t="s">
        <v>178</v>
      </c>
    </row>
    <row r="16" spans="1:5" x14ac:dyDescent="0.2">
      <c r="A16">
        <v>17</v>
      </c>
      <c r="B16" s="39">
        <v>45189.926555555554</v>
      </c>
      <c r="C16" t="s">
        <v>175</v>
      </c>
      <c r="D16" t="s">
        <v>179</v>
      </c>
    </row>
    <row r="17" spans="1:4" x14ac:dyDescent="0.2">
      <c r="A17">
        <v>17</v>
      </c>
      <c r="B17" s="39">
        <v>45189.676139351854</v>
      </c>
      <c r="C17" t="s">
        <v>174</v>
      </c>
      <c r="D17" t="s">
        <v>178</v>
      </c>
    </row>
    <row r="18" spans="1:4" x14ac:dyDescent="0.2">
      <c r="A18">
        <v>16</v>
      </c>
      <c r="B18" s="39">
        <v>45187.714141550925</v>
      </c>
      <c r="C18" t="s">
        <v>164</v>
      </c>
      <c r="D18" t="s">
        <v>179</v>
      </c>
    </row>
    <row r="19" spans="1:4" x14ac:dyDescent="0.2">
      <c r="A19">
        <v>16</v>
      </c>
      <c r="B19" s="39">
        <v>45187.692742129628</v>
      </c>
      <c r="C19" t="s">
        <v>163</v>
      </c>
      <c r="D19" t="s">
        <v>178</v>
      </c>
    </row>
    <row r="20" spans="1:4" x14ac:dyDescent="0.2">
      <c r="A20">
        <v>15</v>
      </c>
      <c r="B20" s="39">
        <v>45186.662879745367</v>
      </c>
      <c r="C20" t="s">
        <v>159</v>
      </c>
      <c r="D20" t="s">
        <v>178</v>
      </c>
    </row>
    <row r="21" spans="1:4" x14ac:dyDescent="0.2">
      <c r="A21">
        <v>13</v>
      </c>
      <c r="B21" s="39">
        <v>45184.89964236111</v>
      </c>
      <c r="C21" t="s">
        <v>152</v>
      </c>
      <c r="D21" t="s">
        <v>178</v>
      </c>
    </row>
    <row r="22" spans="1:4" x14ac:dyDescent="0.2">
      <c r="A22">
        <v>12</v>
      </c>
      <c r="B22" s="39">
        <v>45184.810916319446</v>
      </c>
      <c r="C22" t="s">
        <v>147</v>
      </c>
      <c r="D22" t="s">
        <v>178</v>
      </c>
    </row>
    <row r="23" spans="1:4" x14ac:dyDescent="0.2">
      <c r="A23">
        <v>1</v>
      </c>
      <c r="B23" s="39">
        <v>45184.672752777777</v>
      </c>
      <c r="C23" t="s">
        <v>142</v>
      </c>
      <c r="D23" t="s">
        <v>179</v>
      </c>
    </row>
    <row r="24" spans="1:4" x14ac:dyDescent="0.2">
      <c r="A24">
        <v>10</v>
      </c>
      <c r="B24" s="39">
        <v>45184.671338888889</v>
      </c>
      <c r="C24" t="s">
        <v>141</v>
      </c>
      <c r="D24" t="s">
        <v>178</v>
      </c>
    </row>
    <row r="25" spans="1:4" x14ac:dyDescent="0.2">
      <c r="A25">
        <v>10</v>
      </c>
      <c r="B25" s="39">
        <v>45184.669659375002</v>
      </c>
      <c r="C25" t="s">
        <v>140</v>
      </c>
      <c r="D25" t="s">
        <v>178</v>
      </c>
    </row>
    <row r="26" spans="1:4" x14ac:dyDescent="0.2">
      <c r="A26">
        <v>11</v>
      </c>
      <c r="B26" s="39">
        <v>45184.668373148146</v>
      </c>
      <c r="C26" t="s">
        <v>137</v>
      </c>
      <c r="D26" t="s">
        <v>178</v>
      </c>
    </row>
    <row r="27" spans="1:4" x14ac:dyDescent="0.2">
      <c r="A27">
        <v>11</v>
      </c>
      <c r="B27" s="39">
        <v>45184.666117245368</v>
      </c>
      <c r="C27" t="s">
        <v>136</v>
      </c>
      <c r="D27" t="s">
        <v>178</v>
      </c>
    </row>
    <row r="28" spans="1:4" x14ac:dyDescent="0.2">
      <c r="A28">
        <v>11</v>
      </c>
      <c r="B28" s="39">
        <v>45184.661205092591</v>
      </c>
      <c r="C28" t="s">
        <v>133</v>
      </c>
      <c r="D28" t="s">
        <v>178</v>
      </c>
    </row>
  </sheetData>
  <pageMargins left="0.7" right="0.7" top="0.75" bottom="0.75" header="0.3" footer="0.3"/>
  <pageSetup orientation="portrait" horizontalDpi="0" verticalDpi="0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9996BE-FDE0-C247-AE45-C8BF8FABB24A}">
  <sheetPr codeName="Hoja9"/>
  <dimension ref="A5:L43"/>
  <sheetViews>
    <sheetView workbookViewId="0">
      <selection activeCell="C18" sqref="C18"/>
    </sheetView>
  </sheetViews>
  <sheetFormatPr baseColWidth="10" defaultRowHeight="14" x14ac:dyDescent="0.2"/>
  <cols>
    <col min="1" max="1" width="9.19921875" bestFit="1" customWidth="1"/>
    <col min="2" max="2" width="17.19921875" bestFit="1" customWidth="1"/>
    <col min="3" max="3" width="13.3984375" bestFit="1" customWidth="1"/>
    <col min="4" max="4" width="9.3984375" bestFit="1" customWidth="1"/>
    <col min="5" max="5" width="10.796875" bestFit="1" customWidth="1"/>
    <col min="6" max="6" width="18.59765625" bestFit="1" customWidth="1"/>
    <col min="7" max="7" width="31.59765625" bestFit="1" customWidth="1"/>
    <col min="8" max="8" width="47.59765625" bestFit="1" customWidth="1"/>
    <col min="9" max="10" width="9.3984375" bestFit="1" customWidth="1"/>
    <col min="11" max="11" width="10" bestFit="1" customWidth="1"/>
    <col min="12" max="13" width="9.59765625" bestFit="1" customWidth="1"/>
  </cols>
  <sheetData>
    <row r="5" spans="1:12" x14ac:dyDescent="0.2">
      <c r="A5" s="42" t="s">
        <v>54</v>
      </c>
      <c r="B5" s="42" t="s">
        <v>58</v>
      </c>
      <c r="C5" s="42" t="s">
        <v>61</v>
      </c>
      <c r="D5" s="42" t="s">
        <v>62</v>
      </c>
      <c r="E5" s="42" t="s">
        <v>63</v>
      </c>
      <c r="F5" s="42" t="s">
        <v>64</v>
      </c>
      <c r="G5" s="42" t="s">
        <v>67</v>
      </c>
      <c r="H5" s="42" t="s">
        <v>70</v>
      </c>
      <c r="I5" s="42" t="s">
        <v>51</v>
      </c>
      <c r="J5" s="42" t="s">
        <v>52</v>
      </c>
      <c r="K5" s="42" t="s">
        <v>53</v>
      </c>
      <c r="L5" s="42" t="s">
        <v>131</v>
      </c>
    </row>
    <row r="6" spans="1:12" x14ac:dyDescent="0.2">
      <c r="A6">
        <v>18</v>
      </c>
      <c r="B6" t="s">
        <v>171</v>
      </c>
      <c r="C6">
        <v>3219105712</v>
      </c>
      <c r="D6" t="s">
        <v>123</v>
      </c>
      <c r="E6" t="s">
        <v>124</v>
      </c>
      <c r="F6">
        <v>0</v>
      </c>
      <c r="G6" t="s">
        <v>172</v>
      </c>
      <c r="H6" t="s">
        <v>104</v>
      </c>
      <c r="I6">
        <v>165000</v>
      </c>
      <c r="J6">
        <v>0</v>
      </c>
      <c r="K6">
        <v>-165000</v>
      </c>
      <c r="L6" t="s">
        <v>179</v>
      </c>
    </row>
    <row r="7" spans="1:12" x14ac:dyDescent="0.2">
      <c r="A7">
        <v>17</v>
      </c>
      <c r="B7" t="s">
        <v>165</v>
      </c>
      <c r="C7">
        <v>3177960192</v>
      </c>
      <c r="D7" t="s">
        <v>166</v>
      </c>
      <c r="E7" t="s">
        <v>167</v>
      </c>
      <c r="F7" t="s">
        <v>168</v>
      </c>
      <c r="G7" t="s">
        <v>73</v>
      </c>
      <c r="H7" t="s">
        <v>169</v>
      </c>
      <c r="I7">
        <v>125000</v>
      </c>
      <c r="J7">
        <v>70000</v>
      </c>
      <c r="K7">
        <v>-55000</v>
      </c>
      <c r="L7" t="s">
        <v>179</v>
      </c>
    </row>
    <row r="8" spans="1:12" x14ac:dyDescent="0.2">
      <c r="A8">
        <v>16</v>
      </c>
      <c r="B8" t="s">
        <v>160</v>
      </c>
      <c r="C8">
        <v>3209141155</v>
      </c>
      <c r="D8" t="s">
        <v>56</v>
      </c>
      <c r="E8" t="s">
        <v>161</v>
      </c>
      <c r="F8">
        <v>0</v>
      </c>
      <c r="G8" t="s">
        <v>73</v>
      </c>
      <c r="H8" t="s">
        <v>162</v>
      </c>
      <c r="I8">
        <v>125000</v>
      </c>
      <c r="J8">
        <v>0</v>
      </c>
      <c r="K8">
        <v>-125000</v>
      </c>
      <c r="L8" t="s">
        <v>179</v>
      </c>
    </row>
    <row r="9" spans="1:12" x14ac:dyDescent="0.2">
      <c r="A9">
        <v>1</v>
      </c>
      <c r="B9" t="s">
        <v>76</v>
      </c>
      <c r="C9">
        <v>8613489612</v>
      </c>
      <c r="D9" t="s">
        <v>71</v>
      </c>
      <c r="E9" t="s">
        <v>72</v>
      </c>
      <c r="F9" t="s">
        <v>77</v>
      </c>
      <c r="G9" t="s">
        <v>73</v>
      </c>
      <c r="H9" t="s">
        <v>156</v>
      </c>
      <c r="I9">
        <v>120000</v>
      </c>
      <c r="J9">
        <v>120000</v>
      </c>
      <c r="K9">
        <v>0</v>
      </c>
      <c r="L9" t="s">
        <v>179</v>
      </c>
    </row>
    <row r="25" spans="2:2" x14ac:dyDescent="0.2">
      <c r="B25" s="43"/>
    </row>
    <row r="26" spans="2:2" x14ac:dyDescent="0.2">
      <c r="B26" s="43"/>
    </row>
    <row r="27" spans="2:2" x14ac:dyDescent="0.2">
      <c r="B27" s="43"/>
    </row>
    <row r="28" spans="2:2" x14ac:dyDescent="0.2">
      <c r="B28" s="43"/>
    </row>
    <row r="29" spans="2:2" x14ac:dyDescent="0.2">
      <c r="B29" s="43"/>
    </row>
    <row r="30" spans="2:2" x14ac:dyDescent="0.2">
      <c r="B30" s="43"/>
    </row>
    <row r="31" spans="2:2" x14ac:dyDescent="0.2">
      <c r="B31" s="43"/>
    </row>
    <row r="32" spans="2:2" x14ac:dyDescent="0.2">
      <c r="B32" s="43"/>
    </row>
    <row r="33" spans="2:2" x14ac:dyDescent="0.2">
      <c r="B33" s="43"/>
    </row>
    <row r="34" spans="2:2" x14ac:dyDescent="0.2">
      <c r="B34" s="43"/>
    </row>
    <row r="35" spans="2:2" x14ac:dyDescent="0.2">
      <c r="B35" s="43"/>
    </row>
    <row r="36" spans="2:2" x14ac:dyDescent="0.2">
      <c r="B36" s="43"/>
    </row>
    <row r="37" spans="2:2" x14ac:dyDescent="0.2">
      <c r="B37" s="43"/>
    </row>
    <row r="38" spans="2:2" x14ac:dyDescent="0.2">
      <c r="B38" s="43"/>
    </row>
    <row r="39" spans="2:2" x14ac:dyDescent="0.2">
      <c r="B39" s="43"/>
    </row>
    <row r="40" spans="2:2" x14ac:dyDescent="0.2">
      <c r="B40" s="43"/>
    </row>
    <row r="41" spans="2:2" x14ac:dyDescent="0.2">
      <c r="B41" s="43"/>
    </row>
    <row r="42" spans="2:2" x14ac:dyDescent="0.2">
      <c r="B42" s="43"/>
    </row>
    <row r="43" spans="2:2" x14ac:dyDescent="0.2">
      <c r="B43" s="43"/>
    </row>
  </sheetData>
  <pageMargins left="0.7" right="0.7" top="0.75" bottom="0.75" header="0.3" footer="0.3"/>
  <pageSetup orientation="portrait" horizontalDpi="0" verticalDpi="0"/>
  <drawing r:id="rId2"/>
  <extLst>
    <ext xmlns:x14="http://schemas.microsoft.com/office/spreadsheetml/2009/9/main" uri="{A8765BA9-456A-4dab-B4F3-ACF838C121DE}">
      <x14:slicerList>
        <x14:slicer r:id="rId3"/>
      </x14:slicerList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9</vt:i4>
      </vt:variant>
      <vt:variant>
        <vt:lpstr>Rangos con nombre</vt:lpstr>
      </vt:variant>
      <vt:variant>
        <vt:i4>21</vt:i4>
      </vt:variant>
    </vt:vector>
  </HeadingPairs>
  <TitlesOfParts>
    <vt:vector size="30" baseType="lpstr">
      <vt:lpstr>Hoja1</vt:lpstr>
      <vt:lpstr>Consulta</vt:lpstr>
      <vt:lpstr>Procesos</vt:lpstr>
      <vt:lpstr>Print</vt:lpstr>
      <vt:lpstr>IMP</vt:lpstr>
      <vt:lpstr>dbo</vt:lpstr>
      <vt:lpstr>db</vt:lpstr>
      <vt:lpstr>dbp</vt:lpstr>
      <vt:lpstr>inventario</vt:lpstr>
      <vt:lpstr>Consulta!Altavoz</vt:lpstr>
      <vt:lpstr>Print!Altavoz</vt:lpstr>
      <vt:lpstr>Altavoz</vt:lpstr>
      <vt:lpstr>Consulta!Auricular</vt:lpstr>
      <vt:lpstr>Print!Auricular</vt:lpstr>
      <vt:lpstr>Auricular</vt:lpstr>
      <vt:lpstr>Consulta!Bateria</vt:lpstr>
      <vt:lpstr>Print!Bateria</vt:lpstr>
      <vt:lpstr>Bateria</vt:lpstr>
      <vt:lpstr>Consulta!Enciende</vt:lpstr>
      <vt:lpstr>Print!Enciende</vt:lpstr>
      <vt:lpstr>Enciende</vt:lpstr>
      <vt:lpstr>Consulta!Pantalla</vt:lpstr>
      <vt:lpstr>Print!Pantalla</vt:lpstr>
      <vt:lpstr>Pantalla</vt:lpstr>
      <vt:lpstr>Consulta!Señal</vt:lpstr>
      <vt:lpstr>Print!Señal</vt:lpstr>
      <vt:lpstr>Señal</vt:lpstr>
      <vt:lpstr>Consulta!SistCarga</vt:lpstr>
      <vt:lpstr>Print!SistCarga</vt:lpstr>
      <vt:lpstr>SistCarga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Armando Lizarazo</dc:creator>
  <cp:lastModifiedBy>Armando Lizarazo</cp:lastModifiedBy>
  <cp:lastPrinted>2023-09-26T21:54:04Z</cp:lastPrinted>
  <dcterms:created xsi:type="dcterms:W3CDTF">2023-09-09T14:17:02Z</dcterms:created>
  <dcterms:modified xsi:type="dcterms:W3CDTF">2023-09-27T02:52:35Z</dcterms:modified>
</cp:coreProperties>
</file>