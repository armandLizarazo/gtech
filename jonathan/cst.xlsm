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9A9D9C49-B9F5-F648-A9FA-A86FB3B2894A}" xr6:coauthVersionLast="47" xr6:coauthVersionMax="47" xr10:uidLastSave="{00000000-0000-0000-0000-000000000000}"/>
  <bookViews>
    <workbookView xWindow="0" yWindow="500" windowWidth="33600" windowHeight="19360" xr2:uid="{70CC80B5-3C9B-0D4C-854A-8BA6D97D6709}"/>
    <workbookView xWindow="16520" yWindow="500" windowWidth="17080" windowHeight="19340" activeTab="3" xr2:uid="{8F0C4B2A-AECF-0B49-B60C-029112DCF88B}"/>
  </bookViews>
  <sheets>
    <sheet name="Hoja1" sheetId="1" r:id="rId1"/>
    <sheet name="Consulta" sheetId="5" r:id="rId2"/>
    <sheet name="dbo" sheetId="2" r:id="rId3"/>
    <sheet name="db" sheetId="4" r:id="rId4"/>
  </sheets>
  <definedNames>
    <definedName name="Altavoz" localSheetId="1">Timbres[Altavoz]</definedName>
    <definedName name="Altavoz">Timbres[Altavoz]</definedName>
    <definedName name="Auricular" localSheetId="1">Auriculares[Auricular]</definedName>
    <definedName name="Auricular">Auriculares[Auricular]</definedName>
    <definedName name="Bateria" localSheetId="1">Pila[Bateria]</definedName>
    <definedName name="Bateria">Pila[Bateria]</definedName>
    <definedName name="Enciende" localSheetId="1">Encendido[Enciende]</definedName>
    <definedName name="Enciende">Encendido[Enciende]</definedName>
    <definedName name="Pantalla" localSheetId="1">Display[Pantalla]</definedName>
    <definedName name="Pantalla">Display[Pantalla]</definedName>
    <definedName name="Señal" localSheetId="1">Señales[Señal]</definedName>
    <definedName name="Señal">Señales[Señal]</definedName>
    <definedName name="SistCarga" localSheetId="1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5" l="1"/>
  <c r="W1" i="4"/>
  <c r="B6" i="5" s="1"/>
  <c r="B4" i="5"/>
  <c r="AV2" i="1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D10" i="5" l="1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<sst xmlns="http://schemas.openxmlformats.org/spreadsheetml/2006/main" count="201" uniqueCount="91">
  <si>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</si>
  <si>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</si>
  <si>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</si>
  <si>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</si>
  <si>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</si>
  <si>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</si>
  <si>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</si>
  <si>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</si>
  <si>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</si>
  <si>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</si>
  <si>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</si>
  <si>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</si>
  <si>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</si>
  <si>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</si>
  <si>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</si>
  <si>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</si>
  <si>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</si>
  <si>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</si>
  <si>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</si>
  <si>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</si>
  <si>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</si>
  <si>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</si>
  <si>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</si>
  <si>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</si>
  <si>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</si>
  <si>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</si>
  <si>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</si>
  <si>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</si>
  <si>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</si>
  <si>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</si>
  <si>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</si>
  <si>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</si>
  <si>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</si>
  <si>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</si>
  <si>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</si>
  <si>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Telefono: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</si>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</sst>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d/mm/yyyy"/>
  </numFmts>
  <fonts count="8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0" fontId="0" fillId="0" borderId="16" xfId="0" applyBorder="1"/>
    <xf numFmtId="42" fontId="0" fillId="0" borderId="11" xfId="1" applyFont="1" applyBorder="1"/>
    <xf numFmtId="0" fontId="0" fillId="0" borderId="18" xfId="0" applyBorder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6" fillId="0" borderId="0" xfId="0" applyFont="1"/>
    <xf numFmtId="0" fontId="0" fillId="0" borderId="0" xfId="0" applyNumberFormat="1"/>
    <xf numFmtId="0" fontId="0" fillId="0" borderId="8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25</xdr:row>
          <xdr:rowOff>139700</xdr:rowOff>
        </xdr:from>
        <xdr:to>
          <xdr:col>2</xdr:col>
          <xdr:colOff>190500</xdr:colOff>
          <xdr:row>27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CA4225E-6755-E40A-9CBC-F9D61F1B7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6" totalsRowShown="0">
  <autoFilter ref="F1:F6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5" totalsRowShown="0">
  <autoFilter ref="G1:G5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V6" totalsRowShown="0">
  <autoFilter ref="A1:V6" xr:uid="{0FB3BA05-8BD8-1545-8A09-E4C9C140D12A}"/>
  <tableColumns count="22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G23" sqref="G23:K24"/>
    </sheetView>
    <sheetView workbookViewId="1">
      <selection activeCell="C27" sqref="C27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12.19921875" bestFit="1" customWidth="1"/>
    <col min="8" max="9" width="6.39843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21" t="s">
        <v>29</v>
      </c>
      <c r="B1" s="21"/>
      <c r="C1" s="21"/>
      <c r="D1" s="21"/>
      <c r="I1" t="s">
        <v>55</v>
      </c>
      <c r="J1">
        <f>MAX(db!A:A)+1</f>
        <v>5</v>
      </c>
      <c r="K1" s="10"/>
      <c r="AA1" s="38" t="s">
        <v>55</v>
      </c>
      <c r="AB1" s="39" t="s">
        <v>56</v>
      </c>
      <c r="AC1" s="39" t="s">
        <v>59</v>
      </c>
      <c r="AD1" s="39" t="s">
        <v>61</v>
      </c>
      <c r="AE1" s="39" t="s">
        <v>62</v>
      </c>
      <c r="AF1" s="39" t="s">
        <v>63</v>
      </c>
      <c r="AG1" s="39" t="s">
        <v>64</v>
      </c>
      <c r="AH1" s="39" t="s">
        <v>65</v>
      </c>
      <c r="AI1" s="39" t="s">
        <v>1</v>
      </c>
      <c r="AJ1" s="39" t="s">
        <v>5</v>
      </c>
      <c r="AK1" s="39" t="s">
        <v>66</v>
      </c>
      <c r="AL1" s="39" t="s">
        <v>2</v>
      </c>
      <c r="AM1" s="39" t="s">
        <v>6</v>
      </c>
      <c r="AN1" s="39" t="s">
        <v>3</v>
      </c>
      <c r="AO1" s="39" t="s">
        <v>7</v>
      </c>
      <c r="AP1" s="39" t="s">
        <v>67</v>
      </c>
      <c r="AQ1" s="39" t="s">
        <v>68</v>
      </c>
      <c r="AR1" s="39" t="s">
        <v>71</v>
      </c>
      <c r="AS1" s="39" t="s">
        <v>52</v>
      </c>
      <c r="AT1" s="39" t="s">
        <v>53</v>
      </c>
      <c r="AU1" s="41" t="s">
        <v>54</v>
      </c>
      <c r="AV1" s="44" t="s">
        <v>85</v>
      </c>
    </row>
    <row r="2" spans="1:48" x14ac:dyDescent="0.2">
      <c r="A2" s="21"/>
      <c r="B2" s="21"/>
      <c r="C2" s="21"/>
      <c r="D2" s="21"/>
      <c r="F2" s="4" t="s">
        <v>43</v>
      </c>
      <c r="G2" t="s">
        <v>30</v>
      </c>
      <c r="K2" s="10"/>
      <c r="AA2">
        <f>J1</f>
        <v>5</v>
      </c>
      <c r="AB2" s="40">
        <f ca="1">B4</f>
        <v>45180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42">
        <f>B24</f>
        <v>0</v>
      </c>
      <c r="AT2" s="42">
        <f>D24</f>
        <v>0</v>
      </c>
      <c r="AU2" s="42">
        <f>F24</f>
        <v>0</v>
      </c>
      <c r="AV2">
        <f>F13</f>
        <v>0</v>
      </c>
    </row>
    <row r="3" spans="1:48" ht="15" thickBot="1" x14ac:dyDescent="0.25">
      <c r="A3" s="22"/>
      <c r="B3" s="22"/>
      <c r="C3" s="22"/>
      <c r="D3" s="22"/>
      <c r="E3" s="3"/>
      <c r="F3" s="5" t="s">
        <v>44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56</v>
      </c>
      <c r="B4" s="28">
        <f ca="1">TODAY()</f>
        <v>45180</v>
      </c>
      <c r="C4" s="28"/>
      <c r="D4" s="19"/>
      <c r="K4" s="10"/>
    </row>
    <row r="5" spans="1:48" x14ac:dyDescent="0.2">
      <c r="K5" s="10"/>
    </row>
    <row r="6" spans="1:48" x14ac:dyDescent="0.2">
      <c r="A6" s="6" t="s">
        <v>59</v>
      </c>
      <c r="B6" s="24"/>
      <c r="C6" s="25"/>
      <c r="D6" s="6" t="s">
        <v>60</v>
      </c>
      <c r="E6" s="24"/>
      <c r="F6" s="24"/>
      <c r="G6" s="6" t="s">
        <v>35</v>
      </c>
      <c r="H6" s="26"/>
      <c r="I6" s="26"/>
      <c r="J6" s="27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43"/>
      <c r="K8" s="10"/>
    </row>
    <row r="9" spans="1:48" x14ac:dyDescent="0.2">
      <c r="A9" s="20" t="s">
        <v>0</v>
      </c>
      <c r="B9" s="20"/>
      <c r="C9" s="20"/>
      <c r="D9" s="20"/>
      <c r="E9" s="20"/>
      <c r="F9" s="20"/>
      <c r="G9" s="20"/>
      <c r="H9" s="20"/>
      <c r="I9" s="20"/>
      <c r="J9" s="20"/>
      <c r="K9" s="10"/>
    </row>
    <row r="10" spans="1:48" x14ac:dyDescent="0.2">
      <c r="A10" s="6" t="s">
        <v>36</v>
      </c>
      <c r="B10" s="8"/>
      <c r="C10" s="6" t="s">
        <v>40</v>
      </c>
      <c r="D10" s="8"/>
      <c r="F10" s="6" t="s">
        <v>26</v>
      </c>
      <c r="G10" s="1"/>
      <c r="H10" s="1"/>
      <c r="I10" s="1"/>
      <c r="J10" s="1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37</v>
      </c>
      <c r="B12" s="8"/>
      <c r="C12" s="6" t="s">
        <v>41</v>
      </c>
      <c r="D12" s="8"/>
      <c r="F12" s="15" t="s">
        <v>47</v>
      </c>
      <c r="G12" s="29" t="s">
        <v>27</v>
      </c>
      <c r="H12" s="31" t="s">
        <v>27</v>
      </c>
      <c r="I12" s="33" t="s">
        <v>27</v>
      </c>
      <c r="J12" s="13"/>
      <c r="K12" s="10"/>
    </row>
    <row r="13" spans="1:48" x14ac:dyDescent="0.2">
      <c r="A13" s="6"/>
      <c r="B13" s="2"/>
      <c r="C13" s="6"/>
      <c r="D13" s="2"/>
      <c r="F13" s="46"/>
      <c r="G13" s="30"/>
      <c r="H13" s="32"/>
      <c r="I13" s="34"/>
      <c r="J13" s="13"/>
      <c r="K13" s="10"/>
    </row>
    <row r="14" spans="1:48" x14ac:dyDescent="0.2">
      <c r="A14" s="6" t="s">
        <v>38</v>
      </c>
      <c r="B14" s="8"/>
      <c r="C14" s="6" t="s">
        <v>42</v>
      </c>
      <c r="D14" s="8"/>
      <c r="G14" s="30" t="s">
        <v>27</v>
      </c>
      <c r="H14" s="32" t="s">
        <v>27</v>
      </c>
      <c r="I14" s="34" t="s">
        <v>27</v>
      </c>
      <c r="J14" s="13"/>
      <c r="K14" s="10"/>
    </row>
    <row r="15" spans="1:48" x14ac:dyDescent="0.2">
      <c r="A15" s="6"/>
      <c r="B15" s="2"/>
      <c r="D15" s="2"/>
      <c r="G15" s="30"/>
      <c r="H15" s="32"/>
      <c r="I15" s="34"/>
      <c r="J15" s="13"/>
      <c r="K15" s="10"/>
    </row>
    <row r="16" spans="1:48" x14ac:dyDescent="0.2">
      <c r="A16" s="6" t="s">
        <v>39</v>
      </c>
      <c r="B16" s="8"/>
      <c r="D16" s="2"/>
      <c r="G16" s="30" t="s">
        <v>27</v>
      </c>
      <c r="H16" s="32" t="s">
        <v>27</v>
      </c>
      <c r="I16" s="34" t="s">
        <v>27</v>
      </c>
      <c r="J16" s="13" t="s">
        <v>28</v>
      </c>
      <c r="K16" s="10"/>
    </row>
    <row r="17" spans="1:11" x14ac:dyDescent="0.2">
      <c r="A17" s="7"/>
      <c r="G17" s="35"/>
      <c r="H17" s="36"/>
      <c r="I17" s="37"/>
      <c r="J17" s="13"/>
      <c r="K17" s="10"/>
    </row>
    <row r="18" spans="1:11" x14ac:dyDescent="0.2">
      <c r="A18" s="7" t="s">
        <v>69</v>
      </c>
      <c r="F18" s="45"/>
      <c r="J18" s="13"/>
      <c r="K18" s="10"/>
    </row>
    <row r="19" spans="1:11" x14ac:dyDescent="0.2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14"/>
    </row>
    <row r="20" spans="1:11" x14ac:dyDescent="0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14"/>
    </row>
    <row r="21" spans="1:11" x14ac:dyDescent="0.2">
      <c r="A21" s="7" t="s">
        <v>70</v>
      </c>
      <c r="B21" s="12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9" t="s">
        <v>46</v>
      </c>
      <c r="B22" s="9"/>
      <c r="C22" s="9"/>
      <c r="D22" s="9"/>
      <c r="E22" s="9"/>
      <c r="F22" s="9" t="s">
        <v>45</v>
      </c>
      <c r="G22" s="9"/>
      <c r="H22" s="9"/>
      <c r="I22" s="9"/>
      <c r="J22" s="9"/>
      <c r="K22" s="11"/>
    </row>
    <row r="23" spans="1:1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5" thickBot="1" x14ac:dyDescent="0.25">
      <c r="A24" s="9" t="s">
        <v>52</v>
      </c>
      <c r="B24" s="18"/>
      <c r="C24" s="9" t="s">
        <v>53</v>
      </c>
      <c r="D24" s="18"/>
      <c r="E24" s="9" t="s">
        <v>54</v>
      </c>
      <c r="F24" s="18">
        <f>D24-B24</f>
        <v>0</v>
      </c>
      <c r="G24" s="49"/>
      <c r="H24" s="49"/>
      <c r="I24" s="49"/>
      <c r="J24" s="49"/>
      <c r="K24" s="50"/>
    </row>
  </sheetData>
  <mergeCells count="17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I16:I17"/>
  </mergeCells>
  <conditionalFormatting sqref="G12:I17">
    <cfRule type="colorScale" priority="1">
      <colorScale>
        <cfvo type="min"/>
        <cfvo type="max"/>
        <color rgb="FFFF7128"/>
        <color rgb="FFFFEF9C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0</xdr:col>
                    <xdr:colOff>165100</xdr:colOff>
                    <xdr:row>25</xdr:row>
                    <xdr:rowOff>139700</xdr:rowOff>
                  </from>
                  <to>
                    <xdr:col>2</xdr:col>
                    <xdr:colOff>190500</xdr:colOff>
                    <xdr:row>27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AE24"/>
  <sheetViews>
    <sheetView showGridLines="0" workbookViewId="0">
      <selection activeCell="J30" sqref="J30"/>
    </sheetView>
    <sheetView workbookViewId="1"/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12.19921875" bestFit="1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21" t="s">
        <v>29</v>
      </c>
      <c r="B1" s="21"/>
      <c r="C1" s="21"/>
      <c r="D1" s="21"/>
      <c r="I1" t="s">
        <v>55</v>
      </c>
      <c r="J1">
        <v>2</v>
      </c>
      <c r="K1" s="10"/>
      <c r="O1" t="str">
        <f>MID(H18,1,1)</f>
        <v/>
      </c>
    </row>
    <row r="2" spans="1:15" x14ac:dyDescent="0.2">
      <c r="A2" s="21"/>
      <c r="B2" s="21"/>
      <c r="C2" s="21"/>
      <c r="D2" s="21"/>
      <c r="F2" s="4" t="s">
        <v>43</v>
      </c>
      <c r="G2" t="s">
        <v>30</v>
      </c>
      <c r="K2" s="10"/>
    </row>
    <row r="3" spans="1:15" ht="15" thickBot="1" x14ac:dyDescent="0.25">
      <c r="A3" s="22"/>
      <c r="B3" s="22"/>
      <c r="C3" s="22"/>
      <c r="D3" s="22"/>
      <c r="E3" s="3"/>
      <c r="F3" s="5" t="s">
        <v>44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56</v>
      </c>
      <c r="B4" s="28">
        <f ca="1">TODAY()</f>
        <v>45180</v>
      </c>
      <c r="C4" s="28"/>
      <c r="D4" s="19"/>
      <c r="K4" s="10"/>
    </row>
    <row r="5" spans="1:15" x14ac:dyDescent="0.2">
      <c r="K5" s="10"/>
    </row>
    <row r="6" spans="1:15" x14ac:dyDescent="0.2">
      <c r="A6" s="6" t="s">
        <v>59</v>
      </c>
      <c r="B6" s="24" t="str">
        <f>_xlfn.XLOOKUP(db!W1,db!A:A,db!C:C,"No Existe")</f>
        <v>jose matias</v>
      </c>
      <c r="C6" s="25"/>
      <c r="D6" s="6" t="s">
        <v>60</v>
      </c>
      <c r="E6" s="24">
        <f>_xlfn.XLOOKUP(db!W1,db!A:A,db!D:D)</f>
        <v>8127643</v>
      </c>
      <c r="F6" s="24"/>
      <c r="G6" s="6" t="s">
        <v>35</v>
      </c>
      <c r="H6" s="26">
        <f>_xlfn.XLOOKUP(db!W1,db!A:A,db!E:E)</f>
        <v>687523</v>
      </c>
      <c r="I6" s="26"/>
      <c r="J6" s="27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_xlfn.XLOOKUP(db!W1,db!A:A,db!F:F)</f>
        <v>Oppo</v>
      </c>
      <c r="D8" s="6" t="s">
        <v>33</v>
      </c>
      <c r="E8" t="str">
        <f>_xlfn.XLOOKUP(db!W1,db!A:A,db!G:G)</f>
        <v>A54</v>
      </c>
      <c r="G8" s="6" t="s">
        <v>34</v>
      </c>
      <c r="H8" s="47" t="str">
        <f>_xlfn.XLOOKUP(db!W1,db!A:A,db!H:H)</f>
        <v>u163458681936</v>
      </c>
      <c r="K8" s="10"/>
    </row>
    <row r="9" spans="1:15" x14ac:dyDescent="0.2">
      <c r="A9" s="20" t="s">
        <v>0</v>
      </c>
      <c r="B9" s="20"/>
      <c r="C9" s="20"/>
      <c r="D9" s="20"/>
      <c r="E9" s="20"/>
      <c r="F9" s="20"/>
      <c r="G9" s="20"/>
      <c r="H9" s="20"/>
      <c r="I9" s="20"/>
      <c r="J9" s="20"/>
      <c r="K9" s="10"/>
    </row>
    <row r="10" spans="1:15" x14ac:dyDescent="0.2">
      <c r="A10" s="6" t="s">
        <v>36</v>
      </c>
      <c r="B10" s="48" t="str">
        <f>_xlfn.XLOOKUP(db!W1,db!A:A,db!I:I)</f>
        <v>Si</v>
      </c>
      <c r="C10" s="6" t="s">
        <v>40</v>
      </c>
      <c r="D10" s="48" t="str">
        <f>_xlfn.XLOOKUP(db!W1,db!A:A,db!J:J)</f>
        <v>SR</v>
      </c>
      <c r="F10" s="6" t="s">
        <v>26</v>
      </c>
      <c r="G10" s="1">
        <f>_xlfn.XLOOKUP(db!W1,db!A:A,db!K:K)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37</v>
      </c>
      <c r="B12" s="48" t="str">
        <f>_xlfn.XLOOKUP(db!W1,db!A:A,db!L:L)</f>
        <v>SR</v>
      </c>
      <c r="C12" s="6" t="s">
        <v>41</v>
      </c>
      <c r="D12" s="48" t="str">
        <f>_xlfn.XLOOKUP(db!W1,db!A:A,db!M:M)</f>
        <v>SR</v>
      </c>
      <c r="F12" s="15" t="s">
        <v>47</v>
      </c>
      <c r="G12" s="29" t="str">
        <f>MID(F13,1,1)</f>
        <v>1</v>
      </c>
      <c r="H12" s="31" t="str">
        <f>MID(F13,2,1)</f>
        <v>2</v>
      </c>
      <c r="I12" s="33" t="str">
        <f>MID(F13,3,1)</f>
        <v>3</v>
      </c>
      <c r="J12" s="13"/>
      <c r="K12" s="10"/>
    </row>
    <row r="13" spans="1:15" x14ac:dyDescent="0.2">
      <c r="A13" s="6"/>
      <c r="B13" s="2"/>
      <c r="C13" s="6"/>
      <c r="D13" s="2"/>
      <c r="F13" s="46" t="str">
        <f>_xlfn.XLOOKUP(db!W1,db!A:A,db!V:V)</f>
        <v>123o4o567</v>
      </c>
      <c r="G13" s="30"/>
      <c r="H13" s="32"/>
      <c r="I13" s="34"/>
      <c r="J13" s="13"/>
      <c r="K13" s="10"/>
    </row>
    <row r="14" spans="1:15" x14ac:dyDescent="0.2">
      <c r="A14" s="6" t="s">
        <v>38</v>
      </c>
      <c r="B14" s="48" t="str">
        <f>_xlfn.XLOOKUP(db!W1,db!A:A,db!N:N)</f>
        <v>Manchada</v>
      </c>
      <c r="C14" s="6" t="s">
        <v>42</v>
      </c>
      <c r="D14" s="48" t="str">
        <f>_xlfn.XLOOKUP(db!W1,db!A:A,db!O:O)</f>
        <v>Optima</v>
      </c>
      <c r="G14" s="30" t="str">
        <f>MID(F13,4,1)</f>
        <v>o</v>
      </c>
      <c r="H14" s="32" t="str">
        <f>MID(F13,5,1)</f>
        <v>4</v>
      </c>
      <c r="I14" s="34" t="str">
        <f>MID(F13,6,1)</f>
        <v>o</v>
      </c>
      <c r="J14" s="13"/>
      <c r="K14" s="10"/>
    </row>
    <row r="15" spans="1:15" x14ac:dyDescent="0.2">
      <c r="A15" s="6"/>
      <c r="B15" s="2"/>
      <c r="D15" s="2"/>
      <c r="G15" s="30"/>
      <c r="H15" s="32"/>
      <c r="I15" s="34"/>
      <c r="J15" s="13"/>
      <c r="K15" s="10"/>
    </row>
    <row r="16" spans="1:15" x14ac:dyDescent="0.2">
      <c r="A16" s="6" t="s">
        <v>39</v>
      </c>
      <c r="B16" s="48" t="str">
        <f>_xlfn.XLOOKUP(db!W1,db!A:A,db!P:P)</f>
        <v>Optimo</v>
      </c>
      <c r="D16" s="2"/>
      <c r="G16" s="30" t="str">
        <f>MID(F13,7,1)</f>
        <v>5</v>
      </c>
      <c r="H16" s="32" t="str">
        <f>MID(F13,8,1)</f>
        <v>6</v>
      </c>
      <c r="I16" s="34" t="str">
        <f>MID(F13,9,1)</f>
        <v>7</v>
      </c>
      <c r="J16" s="13" t="s">
        <v>28</v>
      </c>
      <c r="K16" s="10"/>
    </row>
    <row r="17" spans="1:11" x14ac:dyDescent="0.2">
      <c r="A17" s="7"/>
      <c r="G17" s="35"/>
      <c r="H17" s="36"/>
      <c r="I17" s="37"/>
      <c r="J17" s="13"/>
      <c r="K17" s="10"/>
    </row>
    <row r="18" spans="1:11" x14ac:dyDescent="0.2">
      <c r="A18" s="7" t="s">
        <v>69</v>
      </c>
      <c r="J18" s="13"/>
      <c r="K18" s="10"/>
    </row>
    <row r="19" spans="1:11" x14ac:dyDescent="0.2">
      <c r="A19" s="23" t="str">
        <f>_xlfn.XLOOKUP(db!W1,db!A:A,db!Q:Q)</f>
        <v>Cambio de pantalla</v>
      </c>
      <c r="B19" s="23"/>
      <c r="C19" s="23"/>
      <c r="D19" s="23"/>
      <c r="E19" s="23"/>
      <c r="F19" s="23"/>
      <c r="G19" s="23"/>
      <c r="H19" s="23"/>
      <c r="I19" s="23"/>
      <c r="J19" s="23"/>
      <c r="K19" s="14"/>
    </row>
    <row r="20" spans="1:11" x14ac:dyDescent="0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14"/>
    </row>
    <row r="21" spans="1:11" x14ac:dyDescent="0.2">
      <c r="A21" s="7" t="s">
        <v>70</v>
      </c>
      <c r="B21" s="12" t="str">
        <f>_xlfn.XLOOKUP(db!W1,db!A:A,db!R:R)</f>
        <v>sin sim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9" t="s">
        <v>46</v>
      </c>
      <c r="B22" s="9"/>
      <c r="C22" s="9"/>
      <c r="D22" s="9"/>
      <c r="E22" s="9"/>
      <c r="F22" s="9" t="s">
        <v>45</v>
      </c>
      <c r="G22" s="9"/>
      <c r="H22" s="9"/>
      <c r="I22" s="9"/>
      <c r="J22" s="9"/>
      <c r="K22" s="11"/>
    </row>
    <row r="23" spans="1:11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7"/>
    </row>
    <row r="24" spans="1:11" ht="15" thickBot="1" x14ac:dyDescent="0.25">
      <c r="A24" s="9" t="s">
        <v>52</v>
      </c>
      <c r="B24" s="18">
        <f>_xlfn.XLOOKUP(db!W1,db!A:A,db!S:S)</f>
        <v>150000</v>
      </c>
      <c r="C24" s="9" t="s">
        <v>53</v>
      </c>
      <c r="D24" s="18">
        <f>_xlfn.XLOOKUP(db!W1,db!A:A,db!T:T)</f>
        <v>100000</v>
      </c>
      <c r="E24" s="9" t="s">
        <v>54</v>
      </c>
      <c r="F24" s="18">
        <f>_xlfn.XLOOKUP(db!W1,db!A:A,db!U:U)</f>
        <v>-50000</v>
      </c>
      <c r="G24" s="9"/>
      <c r="H24" s="9"/>
      <c r="I24" s="9"/>
      <c r="J24" s="9"/>
      <c r="K24" s="11"/>
    </row>
  </sheetData>
  <mergeCells count="16">
    <mergeCell ref="G16:G17"/>
    <mergeCell ref="H16:H17"/>
    <mergeCell ref="I16:I17"/>
    <mergeCell ref="A19:J20"/>
    <mergeCell ref="G12:G13"/>
    <mergeCell ref="H12:H13"/>
    <mergeCell ref="I12:I13"/>
    <mergeCell ref="G14:G15"/>
    <mergeCell ref="H14:H15"/>
    <mergeCell ref="I14:I15"/>
    <mergeCell ref="A1:D3"/>
    <mergeCell ref="B4:C4"/>
    <mergeCell ref="B6:C6"/>
    <mergeCell ref="E6:F6"/>
    <mergeCell ref="H6:J6"/>
    <mergeCell ref="A9:J9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E8" sqref="E8"/>
    </sheetView>
    <sheetView workbookViewId="1"/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49</v>
      </c>
      <c r="C4" t="s">
        <v>14</v>
      </c>
      <c r="D4" t="s">
        <v>49</v>
      </c>
      <c r="E4" t="s">
        <v>16</v>
      </c>
      <c r="F4" t="s">
        <v>21</v>
      </c>
      <c r="G4" t="s">
        <v>24</v>
      </c>
    </row>
    <row r="5" spans="1:7" x14ac:dyDescent="0.2">
      <c r="C5" t="s">
        <v>49</v>
      </c>
      <c r="E5" t="s">
        <v>18</v>
      </c>
      <c r="F5" t="s">
        <v>22</v>
      </c>
      <c r="G5" t="s">
        <v>25</v>
      </c>
    </row>
    <row r="6" spans="1:7" x14ac:dyDescent="0.2">
      <c r="E6" t="s">
        <v>50</v>
      </c>
      <c r="F6" t="s">
        <v>14</v>
      </c>
    </row>
    <row r="7" spans="1:7" x14ac:dyDescent="0.2">
      <c r="E7" t="s">
        <v>51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W6"/>
  <sheetViews>
    <sheetView workbookViewId="0">
      <selection activeCell="A2" sqref="A2:V2"/>
    </sheetView>
    <sheetView tabSelected="1" workbookViewId="1">
      <selection activeCell="A2" sqref="A2"/>
    </sheetView>
  </sheetViews>
  <sheetFormatPr baseColWidth="10" defaultRowHeight="14" x14ac:dyDescent="0.2"/>
  <cols>
    <col min="4" max="4" width="13" customWidth="1"/>
    <col min="10" max="10" width="11.19921875" customWidth="1"/>
    <col min="11" max="11" width="16" customWidth="1"/>
    <col min="16" max="16" width="11.3984375" customWidth="1"/>
  </cols>
  <sheetData>
    <row r="1" spans="1:23" x14ac:dyDescent="0.2">
      <c r="A1" t="s">
        <v>55</v>
      </c>
      <c r="B1" t="s">
        <v>56</v>
      </c>
      <c r="C1" t="s">
        <v>59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1</v>
      </c>
      <c r="J1" t="s">
        <v>5</v>
      </c>
      <c r="K1" t="s">
        <v>66</v>
      </c>
      <c r="L1" t="s">
        <v>2</v>
      </c>
      <c r="M1" t="s">
        <v>6</v>
      </c>
      <c r="N1" t="s">
        <v>3</v>
      </c>
      <c r="O1" t="s">
        <v>7</v>
      </c>
      <c r="P1" t="s">
        <v>67</v>
      </c>
      <c r="Q1" t="s">
        <v>68</v>
      </c>
      <c r="R1" t="s">
        <v>71</v>
      </c>
      <c r="S1" t="s">
        <v>52</v>
      </c>
      <c r="T1" t="s">
        <v>53</v>
      </c>
      <c r="U1" t="s">
        <v>54</v>
      </c>
      <c r="V1" t="s">
        <v>85</v>
      </c>
      <c r="W1">
        <f>Consulta!J1</f>
        <v>2</v>
      </c>
    </row>
    <row r="2" spans="1:23" x14ac:dyDescent="0.2">
      <c r="A2">
        <v>4</v>
      </c>
      <c r="B2">
        <v>45180</v>
      </c>
      <c r="C2" t="s">
        <v>88</v>
      </c>
      <c r="D2">
        <v>80577811</v>
      </c>
      <c r="E2">
        <v>30346313114</v>
      </c>
      <c r="F2">
        <v>0</v>
      </c>
      <c r="G2">
        <v>0</v>
      </c>
      <c r="H2">
        <v>0</v>
      </c>
      <c r="I2" t="s">
        <v>8</v>
      </c>
      <c r="J2" t="s">
        <v>49</v>
      </c>
      <c r="K2">
        <v>0</v>
      </c>
      <c r="L2" t="s">
        <v>49</v>
      </c>
      <c r="M2" t="s">
        <v>49</v>
      </c>
      <c r="N2" t="s">
        <v>16</v>
      </c>
      <c r="O2" t="s">
        <v>14</v>
      </c>
      <c r="P2" t="s">
        <v>25</v>
      </c>
      <c r="Q2" t="s">
        <v>48</v>
      </c>
      <c r="R2" t="s">
        <v>89</v>
      </c>
      <c r="S2">
        <v>800000</v>
      </c>
      <c r="T2">
        <v>800000</v>
      </c>
      <c r="U2">
        <v>0</v>
      </c>
      <c r="V2" t="s">
        <v>90</v>
      </c>
    </row>
    <row r="4" spans="1:23" x14ac:dyDescent="0.2">
      <c r="A4">
        <v>3</v>
      </c>
      <c r="B4">
        <v>45180</v>
      </c>
      <c r="C4" t="s">
        <v>81</v>
      </c>
      <c r="D4">
        <v>6235612</v>
      </c>
      <c r="E4">
        <v>32364561253</v>
      </c>
      <c r="F4" t="s">
        <v>76</v>
      </c>
      <c r="G4" t="s">
        <v>82</v>
      </c>
      <c r="H4" t="s">
        <v>83</v>
      </c>
      <c r="I4" t="s">
        <v>8</v>
      </c>
      <c r="J4" t="s">
        <v>49</v>
      </c>
      <c r="K4">
        <v>0</v>
      </c>
      <c r="L4" t="s">
        <v>49</v>
      </c>
      <c r="M4" t="s">
        <v>49</v>
      </c>
      <c r="N4" t="s">
        <v>50</v>
      </c>
      <c r="O4" t="s">
        <v>14</v>
      </c>
      <c r="P4" t="s">
        <v>25</v>
      </c>
      <c r="Q4" t="s">
        <v>74</v>
      </c>
      <c r="R4" t="s">
        <v>84</v>
      </c>
      <c r="S4">
        <v>1500000</v>
      </c>
      <c r="T4">
        <v>1000000</v>
      </c>
      <c r="U4">
        <v>-500000</v>
      </c>
      <c r="V4">
        <v>123456789</v>
      </c>
    </row>
    <row r="5" spans="1:23" x14ac:dyDescent="0.2">
      <c r="A5">
        <v>2</v>
      </c>
      <c r="B5">
        <v>45180</v>
      </c>
      <c r="C5" t="s">
        <v>79</v>
      </c>
      <c r="D5">
        <v>8127643</v>
      </c>
      <c r="E5">
        <v>687523</v>
      </c>
      <c r="F5" t="s">
        <v>57</v>
      </c>
      <c r="G5" t="s">
        <v>58</v>
      </c>
      <c r="H5" t="s">
        <v>80</v>
      </c>
      <c r="I5" t="s">
        <v>8</v>
      </c>
      <c r="J5" t="s">
        <v>49</v>
      </c>
      <c r="K5">
        <v>0</v>
      </c>
      <c r="L5" t="s">
        <v>49</v>
      </c>
      <c r="M5" t="s">
        <v>49</v>
      </c>
      <c r="N5" t="s">
        <v>16</v>
      </c>
      <c r="O5" t="s">
        <v>14</v>
      </c>
      <c r="P5" t="s">
        <v>25</v>
      </c>
      <c r="Q5" t="s">
        <v>74</v>
      </c>
      <c r="R5" t="s">
        <v>75</v>
      </c>
      <c r="S5">
        <v>150000</v>
      </c>
      <c r="T5">
        <v>100000</v>
      </c>
      <c r="U5">
        <v>-50000</v>
      </c>
      <c r="V5" t="s">
        <v>86</v>
      </c>
    </row>
    <row r="6" spans="1:23" x14ac:dyDescent="0.2">
      <c r="A6">
        <v>1</v>
      </c>
      <c r="B6">
        <v>45180</v>
      </c>
      <c r="C6" t="s">
        <v>77</v>
      </c>
      <c r="D6">
        <v>46918236</v>
      </c>
      <c r="E6">
        <v>8613489612</v>
      </c>
      <c r="F6" t="s">
        <v>72</v>
      </c>
      <c r="G6" t="s">
        <v>73</v>
      </c>
      <c r="H6" t="s">
        <v>78</v>
      </c>
      <c r="I6" t="s">
        <v>8</v>
      </c>
      <c r="J6" t="s">
        <v>10</v>
      </c>
      <c r="K6">
        <v>0</v>
      </c>
      <c r="L6" t="s">
        <v>14</v>
      </c>
      <c r="M6" t="s">
        <v>49</v>
      </c>
      <c r="N6" t="s">
        <v>16</v>
      </c>
      <c r="O6" t="s">
        <v>14</v>
      </c>
      <c r="P6" t="s">
        <v>25</v>
      </c>
      <c r="Q6" t="s">
        <v>74</v>
      </c>
      <c r="R6" t="s">
        <v>75</v>
      </c>
      <c r="S6">
        <v>120000</v>
      </c>
      <c r="T6">
        <v>120000</v>
      </c>
      <c r="U6">
        <v>0</v>
      </c>
      <c r="V6" t="s">
        <v>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14</vt:i4>
      </vt:variant>
    </vt:vector>
  </HeadingPairs>
  <TitlesOfParts>
    <vt:vector size="18" baseType="lpstr">
      <vt:lpstr>Hoja1</vt:lpstr>
      <vt:lpstr>Consulta</vt:lpstr>
      <vt:lpstr>dbo</vt:lpstr>
      <vt:lpstr>db</vt:lpstr>
      <vt:lpstr>Consulta!Altavoz</vt:lpstr>
      <vt:lpstr>Altavoz</vt:lpstr>
      <vt:lpstr>Consulta!Auricular</vt:lpstr>
      <vt:lpstr>Auricular</vt:lpstr>
      <vt:lpstr>Consulta!Bateria</vt:lpstr>
      <vt:lpstr>Bateria</vt:lpstr>
      <vt:lpstr>Consulta!Enciende</vt:lpstr>
      <vt:lpstr>Enciende</vt:lpstr>
      <vt:lpstr>Consulta!Pantalla</vt:lpstr>
      <vt:lpstr>Pantalla</vt:lpstr>
      <vt:lpstr>Consulta!Señal</vt:lpstr>
      <vt:lpstr>Señal</vt:lpstr>
      <vt:lpstr>Consulta!SistCarga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2023-09-09T16:39:17Z</cp:lastPrinted>
  <dcterms:created xsi:type="dcterms:W3CDTF">2023-09-09T14:17:02Z</dcterms:created>
  <dcterms:modified xsi:type="dcterms:W3CDTF">2023-09-12T02:13:08Z</dcterms:modified>
</cp:coreProperties>
</file>