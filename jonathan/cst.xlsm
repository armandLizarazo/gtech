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2252C949-559F-ED4E-BB54-D83A320DEE68}" xr6:coauthVersionLast="47" xr6:coauthVersionMax="47" xr10:uidLastSave="{00000000-0000-0000-0000-000000000000}"/>
  <bookViews>
    <workbookView xWindow="0" yWindow="500" windowWidth="33600" windowHeight="19360" activeTab="1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state="hidden" r:id="rId6"/>
    <sheet name="db" sheetId="4" r:id="rId7"/>
    <sheet name="dbp" sheetId="10" r:id="rId8"/>
    <sheet name="inventario" sheetId="11" r:id="rId9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gmentaciónDeDatos_Estado">#N/A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pivotCaches>
    <pivotCache cacheId="117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4" l="1"/>
  <c r="W3" i="4"/>
  <c r="W4" i="4"/>
  <c r="W5" i="4"/>
  <c r="W6" i="4"/>
  <c r="W7" i="4"/>
  <c r="W8" i="4" l="1"/>
  <c r="W9" i="4"/>
  <c r="W10" i="4"/>
  <c r="W11" i="4"/>
  <c r="W12" i="4"/>
  <c r="W13" i="4"/>
  <c r="W14" i="4"/>
  <c r="W17" i="4" l="1"/>
  <c r="K1" i="9"/>
  <c r="B5" i="9"/>
  <c r="E1" i="10"/>
  <c r="Y1" i="4"/>
  <c r="B7" i="9" s="1"/>
  <c r="I1" i="9"/>
  <c r="J1" i="9"/>
  <c r="H1" i="9"/>
  <c r="W32" i="4" l="1"/>
  <c r="I24" i="5" s="1"/>
  <c r="W24" i="4"/>
  <c r="W20" i="4"/>
  <c r="W23" i="4"/>
  <c r="W31" i="4"/>
  <c r="W27" i="4"/>
  <c r="W19" i="4"/>
  <c r="W30" i="4"/>
  <c r="W26" i="4"/>
  <c r="W22" i="4"/>
  <c r="W18" i="4"/>
  <c r="W15" i="4"/>
  <c r="W28" i="4"/>
  <c r="W16" i="4"/>
  <c r="W29" i="4"/>
  <c r="W25" i="4"/>
  <c r="W21" i="4"/>
  <c r="A26" i="5"/>
  <c r="B28" i="5"/>
  <c r="D28" i="5"/>
  <c r="E3" i="9"/>
  <c r="B3" i="9"/>
  <c r="F13" i="1" l="1"/>
  <c r="AV2" i="1" s="1"/>
  <c r="H8" i="8"/>
  <c r="H36" i="8" s="1"/>
  <c r="D24" i="8"/>
  <c r="D54" i="8" s="1"/>
  <c r="B24" i="8"/>
  <c r="B54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E36" i="8" s="1"/>
  <c r="B8" i="8"/>
  <c r="B36" i="8" s="1"/>
  <c r="H6" i="8"/>
  <c r="H34" i="8" s="1"/>
  <c r="E6" i="8"/>
  <c r="E34" i="8" s="1"/>
  <c r="B6" i="8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A2" i="1" s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B34" i="8" l="1"/>
  <c r="A52" i="8"/>
  <c r="B21" i="5"/>
  <c r="D14" i="5"/>
  <c r="G10" i="5"/>
  <c r="E8" i="5"/>
  <c r="D10" i="5"/>
  <c r="F24" i="5"/>
  <c r="D24" i="5"/>
  <c r="B16" i="5"/>
  <c r="D12" i="5"/>
  <c r="B10" i="5"/>
  <c r="E6" i="5"/>
  <c r="B4" i="5"/>
  <c r="A19" i="5"/>
  <c r="H6" i="5"/>
  <c r="B24" i="5"/>
  <c r="F13" i="5"/>
  <c r="I12" i="5" s="1"/>
  <c r="B12" i="5"/>
  <c r="H8" i="5"/>
  <c r="B8" i="5"/>
  <c r="B14" i="5"/>
  <c r="B6" i="5"/>
  <c r="J1" i="8"/>
  <c r="J29" i="8" s="1"/>
  <c r="F24" i="8"/>
  <c r="F54" i="8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<sst xmlns="http://schemas.openxmlformats.org/spreadsheetml/2006/main" count="724" uniqueCount="245">
  <si>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</si>
  <si>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</si>
  <si>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</si>
  <si>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</si>
  <si>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</si>
  <si>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</si>
  <si>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</si>
  <si>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</si>
  <si>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</si>
  <si>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</si>
  <si>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</si>
  <si>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</si>
  <si>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</si>
  <si>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</si>
  <si>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</si>
  <si>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</si>
  <si>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</si>
  <si>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</si>
  <si>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</si>
  <si>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</si>
  <si>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</si>
  <si>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</si>
  <si>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</si>
  <si>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</si>
  <si>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</si>
  <si>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</si>
  <si>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</si>
  <si>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</si>
  <si>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</si>
  <si>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</si>
  <si>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</si>
  <si>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</si>
  <si>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</si>
  <si>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</si>
  <si>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</si>
  <si>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</si>
  <si>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</si>
  <si>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</si>
  <si>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</si>
  <si>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</si>
  <si>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</si>
  <si>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</si>
  <si>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</si>
  <si>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</si>
  <si>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</si>
  <si>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</si>
  <si>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</si>
  <si>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</si>
  <si>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</si>
  <si>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</si>
  <si>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</si>
  <si>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</si>
  <si>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</si>
  <si>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</si>
  <si>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</si>
  <si>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</si>
  <si>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</si>
  <si>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</si>
  <si>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</si>
  <si>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</si>
  <si>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</si>
  <si>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</si>
  <si>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</si>
  <si>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</si>
  <si>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</si>
  <si>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</si>
  <si>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</si>
  <si>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</si>
  <si>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</si>
  <si>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</si>
  <si>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</si>
  <si>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</si>
  <si>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</si>
  <si>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</si>
  <si>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</si>
  <si>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</si>
  <si>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</si>
  <si>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</si>
  <si>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</si>
  <si>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</si>
  <si>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</si>
  <si>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</si>
  <si>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</si>
  <si>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</si>
  <si>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</si>
  <si>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</si>
  <si>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</si>
  <si>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</si>
  <si>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</si>
  <si>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</si>
  <si>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</si>
  <si>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</si>
  <si>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</si>
  <si>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</si>
  <si>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</si>
  <si>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</si>
  <si>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</si>
  <si>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</si>
  <si>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</si>
  <si>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</si>
  <si>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</si>
  <si>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</si>
  <si>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</si>
  <si>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</si>
  <si>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</si>
  <si>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</si>
  <si>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</si>
  <si>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</si>
  <si>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</si>
  <si>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</si>
  <si>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</si>
  <si>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</si>
  <si>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</si>
  <si>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</si>
  <si>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</si>
  <si>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</si>
  <si>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</si>
  <si>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</si>
  <si>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</si>
  <si>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</si>
  <si>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</si>
  <si>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</si>
  <si>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</si>
  <si>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</si>
  <si>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</si>
  <si>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</si>
  <si>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</si>
  <si>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</si>
  <si>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</si>
  <si>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</si>
  <si>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</si>
  <si>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</si>
  <si>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</si>
  <si>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</si>
  <si>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</si>
  <si>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</si>
  <si>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</si>
  <si>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</si>
  <si>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</si>
  <si>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</si>
  <si>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</si>
  <si>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</si>
  <si>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</si>
  <si>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</si>
  <si>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</si>
  <si>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</si>
  <si>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</si>
  <si>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</si>
  <si>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</si>
  <si>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</si>
  <si>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</si>
  <si>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</si>
  <si>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</si>
  <si>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</si>
  <si>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</si>
  <si>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</si>
  <si>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</si>
  <si>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</si>
  <si>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</si>
  <si>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</si>
  <si>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</si>
  <si>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</si>
  <si>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</si>
  <si>
    <t>Equipo Reparado y listo para entregar al cliente</t>
  </si>
  <si>
    <t>Equipo entregado al cliente paga el total en efectivo</t>
  </si>
  <si>
    <t>Yoleidis Leon</t>
  </si>
  <si>
    <t>LG</t>
  </si>
  <si>
    <t>K42s</t>
  </si>
  <si>
    <t>356589111004158</t>
  </si>
  <si>
    <t>sin simcard nio forro</t>
  </si>
  <si>
    <t>No tiene</t>
  </si>
  <si>
    <t>Johana Escalante</t>
  </si>
  <si>
    <t>Cambio de pantalla y flex de power</t>
  </si>
  <si>
    <t>No se acuerda</t>
  </si>
  <si>
    <t>Equipo reparado y listo para entregar al cliente</t>
  </si>
  <si>
    <t>Equipo entregado al cliente y paga el excedente 55mil</t>
  </si>
  <si>
    <t>=============================================================================================</t>
  </si>
  <si>
    <t>Pasados 30 dias NO se responde por el Celular y el mismo sera usado para cubrir el costo de la reparacion</t>
  </si>
  <si>
    <t>Reparado</t>
  </si>
  <si>
    <t>Entregado</t>
  </si>
  <si>
    <t>En Proceso</t>
  </si>
  <si>
    <t>una vez mas</t>
  </si>
  <si>
    <t>inicia proceso</t>
  </si>
  <si>
    <t>Equipo reparado y entregado el cliente paga todo</t>
  </si>
  <si>
    <t>Julio Velasquez</t>
  </si>
  <si>
    <t>Arreglar Pin de carga y configuracion</t>
  </si>
  <si>
    <t>Alcatel</t>
  </si>
  <si>
    <t>1SE</t>
  </si>
  <si>
    <t>Bandeja de sim rota visor pantalla roto se recibe apagado visor camara roto sin sim ni forro</t>
  </si>
  <si>
    <t>Ruben Meza</t>
  </si>
  <si>
    <t>Note 10s</t>
  </si>
  <si>
    <t>Sin simcard ni forro</t>
  </si>
  <si>
    <t>1oo2oo345</t>
  </si>
  <si>
    <t>Equipo reprado y listo para entregar al cliente .. Compra vidrio y forro</t>
  </si>
  <si>
    <t>equipo entregado al cliente mejor compra silicone</t>
  </si>
  <si>
    <t xml:space="preserve">el cliente solicita cambiar la pantalla y se llega a un acuerdo de un total por 175mil </t>
  </si>
  <si>
    <t>A12</t>
  </si>
  <si>
    <t>sin simcard ni forro marco astillado</t>
  </si>
  <si>
    <t>Oscar Moreno</t>
  </si>
  <si>
    <t>9876</t>
  </si>
  <si>
    <t>Equipo reparado y entregado al cliente a conformidad</t>
  </si>
  <si>
    <t>equipo reparado y entregado al cliente a conformidad</t>
  </si>
  <si>
    <t>Mauricio Herrera</t>
  </si>
  <si>
    <t>A30</t>
  </si>
  <si>
    <t>140929</t>
  </si>
  <si>
    <t>equipo reparado y entregado al cliente</t>
  </si>
  <si>
    <t>Alexis Abache</t>
  </si>
  <si>
    <t>Y9 2019</t>
  </si>
  <si>
    <t>3o52461o7</t>
  </si>
  <si>
    <t>Equipo reparado y entregado al cliente</t>
  </si>
  <si>
    <t>Francy Velazco</t>
  </si>
  <si>
    <t>sin simcard ni forro tapa partida bandeja de sin partida</t>
  </si>
  <si>
    <t>Y7</t>
  </si>
  <si>
    <t>Andrea Piñera</t>
  </si>
  <si>
    <t>Corn</t>
  </si>
  <si>
    <t>Flecha</t>
  </si>
  <si>
    <t>Cambio Pin de carga</t>
  </si>
  <si>
    <t>Sin simcard no forro ni memorias</t>
  </si>
  <si>
    <t>Mauricio Fonseca</t>
  </si>
  <si>
    <t>Xiomi</t>
  </si>
  <si>
    <t>Redmi 9</t>
  </si>
  <si>
    <t>Sin simcard ni forro … no tiene la bandeja de sim</t>
  </si>
  <si>
    <t>Josep Contreras</t>
  </si>
  <si>
    <t>Y6 2019</t>
  </si>
  <si>
    <t>Cambio de pantall</t>
  </si>
  <si>
    <t>Sin simcard ni forro ... Tapa no ajusta</t>
  </si>
  <si>
    <t>171702</t>
  </si>
  <si>
    <t>Equipo reparado y listo para entregar al cliente … no esta cargando</t>
  </si>
  <si>
    <t xml:space="preserve">se repara el pin de carga por 15mil y se entrega el equipo al cliente </t>
  </si>
  <si>
    <t>Jhon Avila</t>
  </si>
  <si>
    <t xml:space="preserve">Motorola </t>
  </si>
  <si>
    <t>G8 Plus</t>
  </si>
  <si>
    <t>1073157989</t>
  </si>
  <si>
    <t>&lt;</t>
  </si>
  <si>
    <t>Cambio de Pantalla Original</t>
  </si>
  <si>
    <t>Sin simcard ni forro se le obsequia ceramico</t>
  </si>
  <si>
    <t>Equipo reparado y entregado al cliente (No trajo recibo)</t>
  </si>
  <si>
    <t>Jonathan Rivero</t>
  </si>
  <si>
    <t>Redmi 9T</t>
  </si>
  <si>
    <t>Sin cimcard ni forro patalla fisurada</t>
  </si>
  <si>
    <t>6o1o2o345</t>
  </si>
  <si>
    <t>Dayana Forero</t>
  </si>
  <si>
    <t>A21s</t>
  </si>
  <si>
    <t>sin simcard ni forro -- bandeja de sim color blanco -- tapa fisurada</t>
  </si>
  <si>
    <t>Cambio de pantalla + vidrio ceramico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</si>
</sst>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3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  <font>
      <b/>
      <sz val="10"/>
      <color rgb="FF0432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05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0" fillId="0" borderId="0" xfId="0" pivotButton="1"/>
    <xf numFmtId="14" fontId="0" fillId="0" borderId="0" xfId="0" applyNumberFormat="1"/>
    <xf numFmtId="0" fontId="0" fillId="0" borderId="8" xfId="0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/>
      <protection locked="0"/>
    </xf>
    <xf numFmtId="42" fontId="0" fillId="0" borderId="11" xfId="1" applyFont="1" applyBorder="1" applyProtection="1">
      <protection locked="0"/>
    </xf>
    <xf numFmtId="42" fontId="0" fillId="0" borderId="11" xfId="1" applyFont="1" applyBorder="1" applyProtection="1">
      <protection hidden="1"/>
    </xf>
    <xf numFmtId="0" fontId="12" fillId="0" borderId="0" xfId="0" applyFont="1" applyAlignment="1">
      <alignment horizontal="left" vertical="top"/>
    </xf>
    <xf numFmtId="0" fontId="0" fillId="0" borderId="22" xfId="0" applyBorder="1"/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8" fillId="0" borderId="8" xfId="0" applyFon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19" fontId="4" fillId="0" borderId="0" xfId="0" applyNumberFormat="1" applyFont="1" applyAlignment="1">
      <alignment horizontal="left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0" borderId="13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114300</xdr:colOff>
      <xdr:row>3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3924300" cy="66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mando Lizarazo" refreshedDate="45192.266924768519" createdVersion="8" refreshedVersion="8" minRefreshableVersion="3" recordCount="19" xr:uid="{9D774A78-E7F2-D547-ADAD-DF45944F6B4C}">
  <cacheSource type="worksheet">
    <worksheetSource name="dbform"/>
  </cacheSource>
  <cacheFields count="23">
    <cacheField name="Orden" numFmtId="0">
      <sharedItems containsString="0" containsBlank="1" containsNumber="1" containsInteger="1" minValue="1" maxValue="18" count="19">
        <n v="18"/>
        <m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Fecha" numFmtId="0">
      <sharedItems containsString="0" containsBlank="1" containsNumber="1" containsInteger="1" minValue="45180" maxValue="45188"/>
    </cacheField>
    <cacheField name="Cliente" numFmtId="0">
      <sharedItems containsBlank="1" count="18">
        <s v="Johana Escalante"/>
        <m/>
        <s v="Yoleidis Leon"/>
        <s v="Alexander Sierra"/>
        <s v="Yajaira Herrera"/>
        <s v="Kener Jaramillo"/>
        <s v="Abel Isaac"/>
        <s v="Miguel Perez"/>
        <s v="Ronny Pacheco"/>
        <s v="Diego Naranjo"/>
        <s v="Orlando Cardona"/>
        <s v="Carlos Ramirez"/>
        <s v="Carlos Chavez"/>
        <s v="Luis Ramirez"/>
        <s v="Armando Lizarazo"/>
        <s v="rordrigo rodriguez"/>
        <s v="jose matias"/>
        <s v="Samuel Perez"/>
      </sharedItems>
    </cacheField>
    <cacheField name="Documento" numFmtId="0">
      <sharedItems containsString="0" containsBlank="1" containsNumber="1" containsInteger="1" minValue="346587" maxValue="1124370157"/>
    </cacheField>
    <cacheField name="Telefono" numFmtId="0">
      <sharedItems containsString="0" containsBlank="1" containsNumber="1" containsInteger="1" minValue="687523" maxValue="32364561253" count="18">
        <n v="3219105712"/>
        <m/>
        <n v="3177960192"/>
        <n v="3209141155"/>
        <n v="3013106719"/>
        <n v="3209641024"/>
        <n v="3229134023"/>
        <n v="3209122563"/>
        <n v="3016079202"/>
        <n v="90900990"/>
        <n v="3040340304"/>
        <n v="308907060"/>
        <n v="3224156755"/>
        <n v="3046313114"/>
        <n v="30346313114"/>
        <n v="32364561253"/>
        <n v="687523"/>
        <n v="8613489612"/>
      </sharedItems>
    </cacheField>
    <cacheField name="Marca" numFmtId="0">
      <sharedItems containsBlank="1" containsMixedTypes="1" containsNumber="1" containsInteger="1" minValue="0" maxValue="0" count="10">
        <s v="Huawei"/>
        <m/>
        <s v="LG"/>
        <s v="Oppo"/>
        <s v="Samsung"/>
        <s v="Motorola"/>
        <s v="Xiaomi"/>
        <s v="apple"/>
        <s v="Vivo"/>
        <n v="0"/>
      </sharedItems>
    </cacheField>
    <cacheField name="Modelo" numFmtId="0">
      <sharedItems containsBlank="1" containsMixedTypes="1" containsNumber="1" containsInteger="1" minValue="0" maxValue="0" count="17">
        <s v="Y9 Prime"/>
        <m/>
        <s v="K42s"/>
        <s v="A16"/>
        <s v="A11"/>
        <s v="E20"/>
        <s v="Moto G20"/>
        <s v="A31"/>
        <s v="Note 11"/>
        <s v="A54"/>
        <s v="iphone 12"/>
        <s v="Y20i"/>
        <s v="S9+"/>
        <s v="iPhone XR"/>
        <n v="0"/>
        <s v="S23 FE"/>
        <s v="Redmi 10"/>
      </sharedItems>
    </cacheField>
    <cacheField name="Imei" numFmtId="0">
      <sharedItems containsBlank="1" containsMixedTypes="1" containsNumber="1" containsInteger="1" minValue="0" maxValue="0" count="12">
        <n v="0"/>
        <m/>
        <s v="356589111004158"/>
        <s v="909089897867564"/>
        <s v="123456789098765"/>
        <s v="435678765432345"/>
        <s v="657865434578654"/>
        <s v="987654326756432"/>
        <s v="123456789123"/>
        <s v="y354672573"/>
        <s v="u163458681936"/>
        <s v="no registra"/>
      </sharedItems>
    </cacheField>
    <cacheField name="Enciende" numFmtId="0">
      <sharedItems containsBlank="1"/>
    </cacheField>
    <cacheField name="Auricular" numFmtId="0">
      <sharedItems containsBlank="1" containsMixedTypes="1" containsNumber="1" containsInteger="1" minValue="0" maxValue="0"/>
    </cacheField>
    <cacheField name="Pin/contraseña" numFmtId="0">
      <sharedItems containsBlank="1" containsMixedTypes="1" containsNumber="1" containsInteger="1" minValue="0" maxValue="908070"/>
    </cacheField>
    <cacheField name="Señal" numFmtId="0">
      <sharedItems containsBlank="1" containsMixedTypes="1" containsNumber="1" containsInteger="1" minValue="0" maxValue="0"/>
    </cacheField>
    <cacheField name="Altavoz" numFmtId="0">
      <sharedItems containsBlank="1" containsMixedTypes="1" containsNumber="1" containsInteger="1" minValue="0" maxValue="0"/>
    </cacheField>
    <cacheField name="Pantalla" numFmtId="0">
      <sharedItems containsBlank="1" containsMixedTypes="1" containsNumber="1" containsInteger="1" minValue="0" maxValue="0"/>
    </cacheField>
    <cacheField name="Bateria" numFmtId="0">
      <sharedItems containsBlank="1" containsMixedTypes="1" containsNumber="1" containsInteger="1" minValue="0" maxValue="0"/>
    </cacheField>
    <cacheField name="SistCarga" numFmtId="0">
      <sharedItems containsBlank="1"/>
    </cacheField>
    <cacheField name="Proceso" numFmtId="0">
      <sharedItems containsBlank="1" count="8">
        <s v="Cambio de pantalla y flex de power"/>
        <m/>
        <s v="Cambio de pantalla"/>
        <s v="Control de Humedad"/>
        <s v="Cambio de pantalla y logica de carga"/>
        <s v="Reemplazar Auricular"/>
        <s v="Limpieza auricular"/>
        <s v="Limpieza General"/>
      </sharedItems>
    </cacheField>
    <cacheField name="Detalles" numFmtId="0">
      <sharedItems containsBlank="1" containsMixedTypes="1" containsNumber="1" containsInteger="1" minValue="0" maxValue="0" count="13">
        <s v="Sin forro ni simcard"/>
        <m/>
        <s v="sin simcard nio forro"/>
        <s v="Visor camara rayado Sin Forro ni simcard ni memoria"/>
        <s v="sin simcard ni forro"/>
        <s v="SIN SIM NI FORRO"/>
        <s v="Sin sim ni forro -- Queda sin Sensor de huella"/>
        <n v="0"/>
        <s v="Deja solo el telefono"/>
        <s v="Sim forro ni simcard"/>
        <s v="Sim simcard ni memoria ni forro"/>
        <s v="sim sim ni forr"/>
        <s v="Sin sim ni forro "/>
      </sharedItems>
    </cacheField>
    <cacheField name="Total" numFmtId="0">
      <sharedItems containsString="0" containsBlank="1" containsNumber="1" containsInteger="1" minValue="0" maxValue="1500000" count="13">
        <n v="165000"/>
        <m/>
        <n v="125000"/>
        <n v="120000"/>
        <n v="110000"/>
        <n v="30000"/>
        <n v="0"/>
        <n v="180000"/>
        <n v="350000"/>
        <n v="20000"/>
        <n v="800000"/>
        <n v="1500000"/>
        <n v="150000"/>
      </sharedItems>
    </cacheField>
    <cacheField name="Abono" numFmtId="0">
      <sharedItems containsString="0" containsBlank="1" containsNumber="1" containsInteger="1" minValue="0" maxValue="1000000" count="13">
        <n v="0"/>
        <m/>
        <n v="70000"/>
        <n v="40000"/>
        <n v="120000"/>
        <n v="30000"/>
        <n v="80000"/>
        <n v="300000"/>
        <n v="15000"/>
        <n v="20000"/>
        <n v="800000"/>
        <n v="1000000"/>
        <n v="100000"/>
      </sharedItems>
    </cacheField>
    <cacheField name="Saldo" numFmtId="0">
      <sharedItems containsString="0" containsBlank="1" containsNumber="1" containsInteger="1" minValue="-500000" maxValue="0" count="10">
        <n v="-165000"/>
        <m/>
        <n v="-55000"/>
        <n v="-125000"/>
        <n v="-80000"/>
        <n v="0"/>
        <n v="-100000"/>
        <n v="-50000"/>
        <n v="-15000"/>
        <n v="-500000"/>
      </sharedItems>
    </cacheField>
    <cacheField name="Patron" numFmtId="0">
      <sharedItems containsBlank="1" containsMixedTypes="1" containsNumber="1" containsInteger="1" minValue="0" maxValue="123456789"/>
    </cacheField>
    <cacheField name="Estado" numFmtId="0">
      <sharedItems containsMixedTypes="1" containsNumber="1" containsInteger="1" minValue="0" maxValue="0" count="4">
        <s v="Entregado"/>
        <n v="0"/>
        <s v="Reparado"/>
        <s v="Sin Procesos"/>
      </sharedItems>
    </cacheField>
  </cacheFields>
  <extLst>
    <ext xmlns:x14="http://schemas.microsoft.com/office/spreadsheetml/2009/9/main" uri="{725AE2AE-9491-48be-B2B4-4EB974FC3084}">
      <x14:pivotCacheDefinition pivotCacheId="8287845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n v="45188"/>
    <x v="0"/>
    <n v="1121972645"/>
    <x v="0"/>
    <x v="0"/>
    <x v="0"/>
    <x v="0"/>
    <s v="Si"/>
    <s v="SR"/>
    <s v="No se acuerda"/>
    <s v="SR"/>
    <s v="SR"/>
    <s v="No Prende"/>
    <s v="Optima"/>
    <s v="Intermitente"/>
    <x v="0"/>
    <x v="0"/>
    <x v="0"/>
    <x v="0"/>
    <x v="0"/>
    <s v="ooooooooo"/>
    <x v="0"/>
  </r>
  <r>
    <x v="1"/>
    <m/>
    <x v="1"/>
    <m/>
    <x v="1"/>
    <x v="1"/>
    <x v="1"/>
    <x v="1"/>
    <m/>
    <m/>
    <m/>
    <m/>
    <m/>
    <m/>
    <m/>
    <m/>
    <x v="1"/>
    <x v="1"/>
    <x v="1"/>
    <x v="1"/>
    <x v="1"/>
    <m/>
    <x v="1"/>
  </r>
  <r>
    <x v="2"/>
    <n v="45188"/>
    <x v="2"/>
    <n v="22656096"/>
    <x v="2"/>
    <x v="2"/>
    <x v="2"/>
    <x v="2"/>
    <s v="Si"/>
    <s v="SR"/>
    <s v="No tiene"/>
    <s v="SR"/>
    <s v="SR"/>
    <s v="Falla Tactil"/>
    <s v="Optima"/>
    <s v="Optimo"/>
    <x v="2"/>
    <x v="2"/>
    <x v="2"/>
    <x v="2"/>
    <x v="2"/>
    <s v="ooooooooo"/>
    <x v="0"/>
  </r>
  <r>
    <x v="3"/>
    <n v="45186"/>
    <x v="3"/>
    <n v="1118538907"/>
    <x v="3"/>
    <x v="3"/>
    <x v="3"/>
    <x v="0"/>
    <s v="Si"/>
    <n v="0"/>
    <n v="210809"/>
    <n v="0"/>
    <n v="0"/>
    <n v="0"/>
    <s v="Optima"/>
    <s v="Optimo"/>
    <x v="2"/>
    <x v="3"/>
    <x v="2"/>
    <x v="0"/>
    <x v="3"/>
    <s v="ooooooooo"/>
    <x v="0"/>
  </r>
  <r>
    <x v="4"/>
    <n v="45186"/>
    <x v="4"/>
    <n v="52724902"/>
    <x v="4"/>
    <x v="4"/>
    <x v="4"/>
    <x v="0"/>
    <s v="No"/>
    <n v="0"/>
    <n v="0"/>
    <n v="0"/>
    <n v="0"/>
    <n v="0"/>
    <n v="0"/>
    <s v="Intermitente"/>
    <x v="2"/>
    <x v="4"/>
    <x v="3"/>
    <x v="3"/>
    <x v="4"/>
    <s v="ooooooooo"/>
    <x v="2"/>
  </r>
  <r>
    <x v="5"/>
    <n v="45185"/>
    <x v="5"/>
    <n v="1003377494"/>
    <x v="5"/>
    <x v="5"/>
    <x v="5"/>
    <x v="0"/>
    <s v="Si"/>
    <s v="SR"/>
    <n v="1999"/>
    <s v="SR"/>
    <s v="SR"/>
    <s v="Manchada"/>
    <s v="SR"/>
    <s v="Optimo"/>
    <x v="2"/>
    <x v="5"/>
    <x v="3"/>
    <x v="4"/>
    <x v="5"/>
    <s v="ooooooooo"/>
    <x v="3"/>
  </r>
  <r>
    <x v="6"/>
    <n v="45184"/>
    <x v="6"/>
    <n v="1066509408"/>
    <x v="6"/>
    <x v="5"/>
    <x v="6"/>
    <x v="0"/>
    <s v="Si"/>
    <s v="SR"/>
    <n v="2518"/>
    <s v="SR"/>
    <s v="SR"/>
    <s v="Manchada"/>
    <s v="Optima"/>
    <s v="Optimo"/>
    <x v="2"/>
    <x v="4"/>
    <x v="4"/>
    <x v="5"/>
    <x v="4"/>
    <s v="ooooooooo"/>
    <x v="2"/>
  </r>
  <r>
    <x v="7"/>
    <n v="45184"/>
    <x v="7"/>
    <n v="1024580916"/>
    <x v="7"/>
    <x v="4"/>
    <x v="7"/>
    <x v="0"/>
    <s v="Si"/>
    <s v="SR"/>
    <n v="0"/>
    <s v="SR"/>
    <s v="SR"/>
    <s v="No Prende"/>
    <s v="Optima"/>
    <s v="Intermitente"/>
    <x v="2"/>
    <x v="6"/>
    <x v="2"/>
    <x v="0"/>
    <x v="3"/>
    <s v="6o3o241o5"/>
    <x v="2"/>
  </r>
  <r>
    <x v="8"/>
    <n v="45184"/>
    <x v="8"/>
    <n v="1124370157"/>
    <x v="8"/>
    <x v="6"/>
    <x v="8"/>
    <x v="0"/>
    <s v="Si"/>
    <s v="SR"/>
    <n v="251403"/>
    <s v="SR"/>
    <s v="SR"/>
    <s v="Falla Tactil"/>
    <s v="Optima"/>
    <s v="Optimo"/>
    <x v="2"/>
    <x v="4"/>
    <x v="2"/>
    <x v="0"/>
    <x v="3"/>
    <s v="ooooooooo"/>
    <x v="2"/>
  </r>
  <r>
    <x v="9"/>
    <n v="45184"/>
    <x v="9"/>
    <n v="606060606"/>
    <x v="9"/>
    <x v="0"/>
    <x v="0"/>
    <x v="3"/>
    <s v="Si"/>
    <s v="No se Oye"/>
    <n v="0"/>
    <s v="Baja"/>
    <s v="No se Oye"/>
    <s v="No Prende"/>
    <s v="No carga"/>
    <s v="Averiado"/>
    <x v="3"/>
    <x v="7"/>
    <x v="5"/>
    <x v="5"/>
    <x v="5"/>
    <s v="123o4oo5o"/>
    <x v="2"/>
  </r>
  <r>
    <x v="10"/>
    <n v="45184"/>
    <x v="10"/>
    <n v="20202020"/>
    <x v="10"/>
    <x v="3"/>
    <x v="9"/>
    <x v="4"/>
    <s v="Si"/>
    <s v="Se Oye"/>
    <n v="0"/>
    <s v="SR"/>
    <s v="Se Oye"/>
    <s v="No Prende"/>
    <s v="Optima"/>
    <s v="Averiado"/>
    <x v="4"/>
    <x v="8"/>
    <x v="6"/>
    <x v="0"/>
    <x v="5"/>
    <s v="123894765"/>
    <x v="3"/>
  </r>
  <r>
    <x v="11"/>
    <n v="45184"/>
    <x v="11"/>
    <n v="346587"/>
    <x v="11"/>
    <x v="7"/>
    <x v="10"/>
    <x v="5"/>
    <s v="Si"/>
    <s v="No se Oye"/>
    <n v="0"/>
    <s v="Optima"/>
    <s v="Se Oye"/>
    <s v="Ok"/>
    <s v="Optima"/>
    <s v="Optimo"/>
    <x v="5"/>
    <x v="9"/>
    <x v="7"/>
    <x v="6"/>
    <x v="6"/>
    <s v="ooooooooo"/>
    <x v="3"/>
  </r>
  <r>
    <x v="12"/>
    <n v="45184"/>
    <x v="12"/>
    <n v="907068"/>
    <x v="12"/>
    <x v="8"/>
    <x v="11"/>
    <x v="6"/>
    <s v="Si"/>
    <s v="SR"/>
    <n v="0"/>
    <s v="SR"/>
    <s v="Se Oye"/>
    <s v="No Prende"/>
    <s v="Optima"/>
    <s v="Intermitente"/>
    <x v="4"/>
    <x v="10"/>
    <x v="8"/>
    <x v="7"/>
    <x v="7"/>
    <n v="0"/>
    <x v="3"/>
  </r>
  <r>
    <x v="13"/>
    <n v="45184"/>
    <x v="13"/>
    <n v="80677812"/>
    <x v="13"/>
    <x v="4"/>
    <x v="12"/>
    <x v="7"/>
    <s v="Si"/>
    <s v="Se Oye"/>
    <n v="0"/>
    <s v="Optima"/>
    <s v="Se Oye"/>
    <s v="Ok"/>
    <s v="Optima"/>
    <s v="Optimo"/>
    <x v="6"/>
    <x v="0"/>
    <x v="5"/>
    <x v="8"/>
    <x v="8"/>
    <s v="18o276345"/>
    <x v="3"/>
  </r>
  <r>
    <x v="14"/>
    <n v="45184"/>
    <x v="14"/>
    <n v="80577811"/>
    <x v="13"/>
    <x v="7"/>
    <x v="13"/>
    <x v="8"/>
    <s v="Si"/>
    <s v="Se Oye"/>
    <n v="908070"/>
    <s v="Optima"/>
    <s v="Se Oye"/>
    <s v="Ok"/>
    <s v="Optima"/>
    <s v="Optimo"/>
    <x v="7"/>
    <x v="11"/>
    <x v="9"/>
    <x v="9"/>
    <x v="5"/>
    <s v="18o276345"/>
    <x v="3"/>
  </r>
  <r>
    <x v="15"/>
    <n v="45180"/>
    <x v="14"/>
    <n v="80577811"/>
    <x v="14"/>
    <x v="9"/>
    <x v="14"/>
    <x v="0"/>
    <s v="Si"/>
    <s v="SR"/>
    <n v="0"/>
    <s v="SR"/>
    <s v="SR"/>
    <s v="Manchada"/>
    <s v="Optima"/>
    <s v="Optimo"/>
    <x v="2"/>
    <x v="5"/>
    <x v="10"/>
    <x v="10"/>
    <x v="5"/>
    <s v="18o276345"/>
    <x v="3"/>
  </r>
  <r>
    <x v="16"/>
    <n v="45180"/>
    <x v="15"/>
    <n v="6235612"/>
    <x v="15"/>
    <x v="4"/>
    <x v="15"/>
    <x v="9"/>
    <s v="Si"/>
    <s v="SR"/>
    <n v="0"/>
    <s v="SR"/>
    <s v="SR"/>
    <s v="No Prende"/>
    <s v="Optima"/>
    <s v="Optimo"/>
    <x v="2"/>
    <x v="12"/>
    <x v="11"/>
    <x v="11"/>
    <x v="9"/>
    <n v="123456789"/>
    <x v="3"/>
  </r>
  <r>
    <x v="17"/>
    <n v="45180"/>
    <x v="16"/>
    <n v="8127643"/>
    <x v="16"/>
    <x v="3"/>
    <x v="9"/>
    <x v="10"/>
    <s v="Si"/>
    <s v="SR"/>
    <n v="0"/>
    <s v="SR"/>
    <s v="SR"/>
    <s v="Manchada"/>
    <s v="Optima"/>
    <s v="Optimo"/>
    <x v="2"/>
    <x v="5"/>
    <x v="12"/>
    <x v="12"/>
    <x v="7"/>
    <s v="123o4o567"/>
    <x v="3"/>
  </r>
  <r>
    <x v="18"/>
    <n v="45180"/>
    <x v="17"/>
    <n v="46918236"/>
    <x v="17"/>
    <x v="6"/>
    <x v="16"/>
    <x v="11"/>
    <s v="Si"/>
    <s v="Se Oye"/>
    <n v="0"/>
    <s v="Optima"/>
    <s v="SR"/>
    <s v="Manchada"/>
    <s v="Optima"/>
    <s v="Optimo"/>
    <x v="2"/>
    <x v="5"/>
    <x v="3"/>
    <x v="4"/>
    <x v="5"/>
    <s v="32149856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55AD8-0B18-B941-9AB9-695C0523964E}" name="TablaDinámica1" cacheId="117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5:L9" firstHeaderRow="1" firstDataRow="1" firstDataCol="12"/>
  <pivotFields count="23">
    <pivotField axis="axisRow" compact="0" outline="0" showAll="0" sortType="descending" defaultSubtotal="0">
      <items count="19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6"/>
        <item x="3"/>
        <item x="14"/>
        <item x="12"/>
        <item x="11"/>
        <item x="9"/>
        <item x="0"/>
        <item x="16"/>
        <item x="5"/>
        <item x="13"/>
        <item x="7"/>
        <item x="10"/>
        <item x="8"/>
        <item x="15"/>
        <item x="17"/>
        <item x="4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16"/>
        <item x="9"/>
        <item x="11"/>
        <item x="4"/>
        <item x="8"/>
        <item x="10"/>
        <item x="13"/>
        <item x="2"/>
        <item x="7"/>
        <item x="3"/>
        <item x="5"/>
        <item x="0"/>
        <item x="12"/>
        <item x="6"/>
        <item x="17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7"/>
        <item x="0"/>
        <item x="2"/>
        <item x="5"/>
        <item x="3"/>
        <item x="4"/>
        <item x="8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4"/>
        <item x="4"/>
        <item x="3"/>
        <item x="7"/>
        <item x="9"/>
        <item x="5"/>
        <item x="10"/>
        <item x="13"/>
        <item x="2"/>
        <item x="6"/>
        <item x="8"/>
        <item x="16"/>
        <item x="15"/>
        <item x="12"/>
        <item x="11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4"/>
        <item x="8"/>
        <item x="2"/>
        <item x="5"/>
        <item x="6"/>
        <item x="3"/>
        <item x="7"/>
        <item x="11"/>
        <item x="10"/>
        <item x="9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0"/>
        <item x="4"/>
        <item x="3"/>
        <item x="6"/>
        <item x="7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7"/>
        <item x="8"/>
        <item x="9"/>
        <item x="11"/>
        <item x="10"/>
        <item x="0"/>
        <item x="5"/>
        <item x="12"/>
        <item x="6"/>
        <item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6"/>
        <item x="9"/>
        <item x="5"/>
        <item x="4"/>
        <item x="3"/>
        <item x="2"/>
        <item x="12"/>
        <item x="0"/>
        <item x="7"/>
        <item x="8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8"/>
        <item x="9"/>
        <item x="5"/>
        <item x="3"/>
        <item x="2"/>
        <item x="6"/>
        <item x="12"/>
        <item x="4"/>
        <item x="7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3"/>
        <item x="6"/>
        <item x="4"/>
        <item x="2"/>
        <item x="7"/>
        <item x="8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x="1"/>
        <item x="0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2"/>
    <field x="4"/>
    <field x="5"/>
    <field x="6"/>
    <field x="7"/>
    <field x="16"/>
    <field x="17"/>
    <field x="18"/>
    <field x="19"/>
    <field x="20"/>
    <field x="22"/>
  </rowFields>
  <rowItems count="4">
    <i>
      <x v="1"/>
      <x v="6"/>
      <x v="11"/>
      <x v="2"/>
      <x v="15"/>
      <x/>
      <x v="1"/>
      <x v="5"/>
      <x v="7"/>
      <x/>
      <x v="1"/>
      <x v="1"/>
    </i>
    <i>
      <x v="2"/>
      <x v="16"/>
      <x v="7"/>
      <x v="3"/>
      <x v="8"/>
      <x v="3"/>
      <x/>
      <x v="10"/>
      <x v="5"/>
      <x v="5"/>
      <x v="5"/>
      <x v="1"/>
    </i>
    <i>
      <x v="3"/>
      <x v="1"/>
      <x v="9"/>
      <x v="5"/>
      <x v="2"/>
      <x/>
      <x/>
      <x v="11"/>
      <x v="5"/>
      <x/>
      <x v="2"/>
      <x v="1"/>
    </i>
    <i>
      <x v="18"/>
      <x v="14"/>
      <x v="14"/>
      <x v="8"/>
      <x v="11"/>
      <x v="8"/>
      <x/>
      <x v="6"/>
      <x v="4"/>
      <x v="8"/>
      <x v="8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749C59D8-444F-6042-9D16-94B062456973}" sourceName="Estado">
  <pivotTables>
    <pivotTable tabId="11" name="TablaDinámica1"/>
  </pivotTables>
  <data>
    <tabular pivotCacheId="828784586">
      <items count="4">
        <i x="1"/>
        <i x="0" s="1"/>
        <i x="2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5FE848F1-6B9C-A946-AC08-1AACC1B7ABC9}" cache="SegmentaciónDeDatos_Estado" caption="Estado" columnCount="4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7" totalsRowShown="0">
  <autoFilter ref="F1:F7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32" totalsRowShown="0">
  <autoFilter ref="A1:W32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>
      <calculatedColumnFormula>IFERROR(_xlfn.XLOOKUP(dbform[[#This Row],[Orden]],dbp!A:A,dbp!D:D),"Sin Procesos")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D49" totalsRowShown="0">
  <autoFilter ref="A1:D49" xr:uid="{A4408316-2558-8545-9CAC-AE323F8C7418}"/>
  <tableColumns count="4">
    <tableColumn id="1" xr3:uid="{3EA9B4F1-1697-B84C-8E7B-F401E0435518}" name="Orden"/>
    <tableColumn id="2" xr3:uid="{38796A09-7A28-624B-9E9A-8702134E7921}" name="Fecha"/>
    <tableColumn id="3" xr3:uid="{A81D6319-9223-A44E-AB8B-0CD0A350C6EF}" name="Proceso"/>
    <tableColumn id="4" xr3:uid="{879FC1DD-3065-454D-A2FE-328EC589B38B}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workbookViewId="0">
      <selection activeCell="B6" sqref="B6:C6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62" t="s">
        <v>29</v>
      </c>
      <c r="B1" s="62"/>
      <c r="C1" s="62"/>
      <c r="D1" s="62"/>
      <c r="I1" t="s">
        <v>54</v>
      </c>
      <c r="J1">
        <f>MAX(db!A:A)+1</f>
        <v>31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62"/>
      <c r="B2" s="62"/>
      <c r="C2" s="62"/>
      <c r="D2" s="62"/>
      <c r="F2" s="4" t="s">
        <v>42</v>
      </c>
      <c r="G2" t="s">
        <v>30</v>
      </c>
      <c r="K2" s="10"/>
      <c r="AA2">
        <f>J1</f>
        <v>31</v>
      </c>
      <c r="AB2" s="21">
        <f ca="1">B4</f>
        <v>45203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63"/>
      <c r="B3" s="63"/>
      <c r="C3" s="63"/>
      <c r="D3" s="63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69">
        <f ca="1">TODAY()</f>
        <v>45203</v>
      </c>
      <c r="C4" s="69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65"/>
      <c r="C6" s="66"/>
      <c r="D6" s="6" t="s">
        <v>59</v>
      </c>
      <c r="E6" s="65"/>
      <c r="F6" s="65"/>
      <c r="G6" s="6" t="s">
        <v>100</v>
      </c>
      <c r="H6" s="67"/>
      <c r="I6" s="67"/>
      <c r="J6" s="68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61" t="s">
        <v>0</v>
      </c>
      <c r="B9" s="61"/>
      <c r="C9" s="61"/>
      <c r="D9" s="61"/>
      <c r="E9" s="61"/>
      <c r="F9" s="61"/>
      <c r="G9" s="61"/>
      <c r="H9" s="61"/>
      <c r="I9" s="61"/>
      <c r="J9" s="61"/>
      <c r="K9" s="10"/>
    </row>
    <row r="10" spans="1:48" x14ac:dyDescent="0.2">
      <c r="A10" s="6" t="s">
        <v>35</v>
      </c>
      <c r="B10" s="44"/>
      <c r="C10" s="6" t="s">
        <v>39</v>
      </c>
      <c r="D10" s="44"/>
      <c r="F10" s="6" t="s">
        <v>26</v>
      </c>
      <c r="G10" s="56"/>
      <c r="H10" s="56"/>
      <c r="I10" s="56"/>
      <c r="J10" s="56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44"/>
      <c r="C12" s="6" t="s">
        <v>40</v>
      </c>
      <c r="D12" s="44"/>
      <c r="F12" s="15" t="s">
        <v>46</v>
      </c>
      <c r="G12" s="70" t="s">
        <v>27</v>
      </c>
      <c r="H12" s="72" t="s">
        <v>27</v>
      </c>
      <c r="I12" s="73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71"/>
      <c r="H13" s="51"/>
      <c r="I13" s="50"/>
      <c r="J13" s="13"/>
      <c r="K13" s="10"/>
    </row>
    <row r="14" spans="1:48" x14ac:dyDescent="0.2">
      <c r="A14" s="6" t="s">
        <v>37</v>
      </c>
      <c r="B14" s="44"/>
      <c r="C14" s="6" t="s">
        <v>41</v>
      </c>
      <c r="D14" s="44"/>
      <c r="G14" s="71" t="s">
        <v>27</v>
      </c>
      <c r="H14" s="51" t="s">
        <v>27</v>
      </c>
      <c r="I14" s="50" t="s">
        <v>27</v>
      </c>
      <c r="J14" s="13"/>
      <c r="K14" s="10"/>
    </row>
    <row r="15" spans="1:48" x14ac:dyDescent="0.2">
      <c r="A15" s="6"/>
      <c r="B15" s="2"/>
      <c r="D15" s="2"/>
      <c r="G15" s="71"/>
      <c r="H15" s="51"/>
      <c r="I15" s="50"/>
      <c r="J15" s="13"/>
      <c r="K15" s="10"/>
    </row>
    <row r="16" spans="1:48" x14ac:dyDescent="0.2">
      <c r="A16" s="6" t="s">
        <v>38</v>
      </c>
      <c r="B16" s="44"/>
      <c r="D16" s="2"/>
      <c r="G16" s="71" t="s">
        <v>27</v>
      </c>
      <c r="H16" s="51" t="s">
        <v>27</v>
      </c>
      <c r="I16" s="50" t="s">
        <v>27</v>
      </c>
      <c r="J16" s="13" t="s">
        <v>28</v>
      </c>
      <c r="K16" s="10"/>
    </row>
    <row r="17" spans="1:11" x14ac:dyDescent="0.2">
      <c r="A17" s="7"/>
      <c r="G17" s="74"/>
      <c r="H17" s="52"/>
      <c r="I17" s="55"/>
      <c r="J17" s="13"/>
      <c r="K17" s="10"/>
    </row>
    <row r="18" spans="1:11" x14ac:dyDescent="0.2">
      <c r="A18" s="53" t="s">
        <v>68</v>
      </c>
      <c r="B18" s="53"/>
      <c r="C18" s="53"/>
      <c r="D18" s="53"/>
      <c r="E18" s="53"/>
      <c r="F18" s="53"/>
      <c r="G18" s="53"/>
      <c r="H18" s="53"/>
      <c r="I18" s="53"/>
      <c r="J18" s="54"/>
      <c r="K18" s="10"/>
    </row>
    <row r="19" spans="1:11" x14ac:dyDescent="0.2">
      <c r="A19" s="64"/>
      <c r="B19" s="64"/>
      <c r="C19" s="64"/>
      <c r="D19" s="64"/>
      <c r="E19" s="64"/>
      <c r="F19" s="64"/>
      <c r="G19" s="64"/>
      <c r="H19" s="64"/>
      <c r="I19" s="64"/>
      <c r="J19" s="64"/>
      <c r="K19" s="14"/>
    </row>
    <row r="20" spans="1:11" x14ac:dyDescent="0.2">
      <c r="A20" s="64"/>
      <c r="B20" s="64"/>
      <c r="C20" s="64"/>
      <c r="D20" s="64"/>
      <c r="E20" s="64"/>
      <c r="F20" s="64"/>
      <c r="G20" s="64"/>
      <c r="H20" s="64"/>
      <c r="I20" s="64"/>
      <c r="J20" s="64"/>
      <c r="K20" s="14"/>
    </row>
    <row r="21" spans="1:11" ht="29" customHeight="1" x14ac:dyDescent="0.2">
      <c r="A21" s="7" t="s">
        <v>69</v>
      </c>
      <c r="B21" s="45"/>
      <c r="C21" s="12"/>
      <c r="D21" s="12"/>
      <c r="E21" s="12"/>
      <c r="F21" s="12"/>
      <c r="G21" s="12"/>
      <c r="H21" s="12"/>
      <c r="I21" s="12"/>
      <c r="J21" s="12"/>
      <c r="K21" s="10" t="s">
        <v>233</v>
      </c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57"/>
      <c r="H23" s="57"/>
      <c r="I23" s="57"/>
      <c r="J23" s="57"/>
      <c r="K23" s="58"/>
    </row>
    <row r="24" spans="1:11" ht="15" thickBot="1" x14ac:dyDescent="0.25">
      <c r="A24" s="9" t="s">
        <v>51</v>
      </c>
      <c r="B24" s="46"/>
      <c r="C24" s="9" t="s">
        <v>52</v>
      </c>
      <c r="D24" s="46"/>
      <c r="E24" s="9" t="s">
        <v>53</v>
      </c>
      <c r="F24" s="47">
        <f>D24-B24</f>
        <v>0</v>
      </c>
      <c r="G24" s="59"/>
      <c r="H24" s="59"/>
      <c r="I24" s="59"/>
      <c r="J24" s="59"/>
      <c r="K24" s="60"/>
    </row>
  </sheetData>
  <mergeCells count="19">
    <mergeCell ref="G23:K24"/>
    <mergeCell ref="A9:J9"/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  <mergeCell ref="I14:I15"/>
    <mergeCell ref="H16:H17"/>
    <mergeCell ref="A18:J18"/>
    <mergeCell ref="I16:I17"/>
    <mergeCell ref="G10:J10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tabSelected="1" workbookViewId="0">
      <selection activeCell="J2" sqref="J2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62" t="s">
        <v>29</v>
      </c>
      <c r="B1" s="62"/>
      <c r="C1" s="62"/>
      <c r="D1" s="62"/>
      <c r="I1" t="s">
        <v>54</v>
      </c>
      <c r="J1">
        <v>30</v>
      </c>
      <c r="K1" s="10"/>
      <c r="O1" t="str">
        <f>MID(H18,1,1)</f>
        <v/>
      </c>
    </row>
    <row r="2" spans="1:15" x14ac:dyDescent="0.2">
      <c r="A2" s="62"/>
      <c r="B2" s="62"/>
      <c r="C2" s="62"/>
      <c r="D2" s="62"/>
      <c r="F2" s="4" t="s">
        <v>42</v>
      </c>
      <c r="G2" t="s">
        <v>30</v>
      </c>
      <c r="K2" s="10"/>
    </row>
    <row r="3" spans="1:15" ht="15" thickBot="1" x14ac:dyDescent="0.25">
      <c r="A3" s="63"/>
      <c r="B3" s="63"/>
      <c r="C3" s="63"/>
      <c r="D3" s="63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88">
        <f>_xlfn.XLOOKUP(db!X1,db!A:A,db!B:B,"")</f>
        <v>45203</v>
      </c>
      <c r="C4" s="89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90" t="str">
        <f>_xlfn.XLOOKUP(db!X1,db!A:A,db!C:C,"No Existe")</f>
        <v>Dayana Forero</v>
      </c>
      <c r="C6" s="91"/>
      <c r="D6" s="6" t="s">
        <v>59</v>
      </c>
      <c r="E6" s="90">
        <f>IFERROR(_xlfn.XLOOKUP(db!X1,db!A:A,db!D:D),"")</f>
        <v>0</v>
      </c>
      <c r="F6" s="90"/>
      <c r="G6" s="6" t="s">
        <v>100</v>
      </c>
      <c r="H6" s="92">
        <f>IFERROR(_xlfn.XLOOKUP(db!X1,db!A:A,db!E:E),"")</f>
        <v>3118965010</v>
      </c>
      <c r="I6" s="92"/>
      <c r="J6" s="93"/>
      <c r="K6" s="10"/>
    </row>
    <row r="7" spans="1:15" x14ac:dyDescent="0.2">
      <c r="K7" s="10"/>
    </row>
    <row r="8" spans="1:15" x14ac:dyDescent="0.2">
      <c r="A8" s="6" t="s">
        <v>32</v>
      </c>
      <c r="B8" t="str">
        <f>IFERROR(_xlfn.XLOOKUP(db!X1,db!A:A,db!F:F),"")</f>
        <v>Samsung</v>
      </c>
      <c r="D8" s="6" t="s">
        <v>33</v>
      </c>
      <c r="E8" t="str">
        <f>IFERROR(_xlfn.XLOOKUP(db!X1,db!A:A,db!G:G),"")</f>
        <v>A21s</v>
      </c>
      <c r="G8" s="6" t="s">
        <v>34</v>
      </c>
      <c r="H8" s="87">
        <f>IFERROR(_xlfn.XLOOKUP(db!X1,db!A:A,db!H:H),"")</f>
        <v>0</v>
      </c>
      <c r="I8" s="87"/>
      <c r="J8" s="87"/>
      <c r="K8" s="10"/>
    </row>
    <row r="9" spans="1:15" x14ac:dyDescent="0.2">
      <c r="A9" s="61" t="s">
        <v>0</v>
      </c>
      <c r="B9" s="61"/>
      <c r="C9" s="61"/>
      <c r="D9" s="61"/>
      <c r="E9" s="61"/>
      <c r="F9" s="61"/>
      <c r="G9" s="61"/>
      <c r="H9" s="61"/>
      <c r="I9" s="61"/>
      <c r="J9" s="61"/>
      <c r="K9" s="10"/>
    </row>
    <row r="10" spans="1:15" x14ac:dyDescent="0.2">
      <c r="A10" s="6" t="s">
        <v>35</v>
      </c>
      <c r="B10" s="27" t="str">
        <f>IFERROR(_xlfn.XLOOKUP(db!X1,db!A:A,db!I:I),"")</f>
        <v>Si</v>
      </c>
      <c r="C10" s="6" t="s">
        <v>39</v>
      </c>
      <c r="D10" s="27" t="str">
        <f>IFERROR(_xlfn.XLOOKUP(db!X1,db!A:A,db!J:J),"")</f>
        <v>SR</v>
      </c>
      <c r="F10" s="6" t="s">
        <v>26</v>
      </c>
      <c r="G10" s="1">
        <f>IFERROR(_xlfn.XLOOKUP(db!X1,db!A:A,db!K:K),"")</f>
        <v>0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 t="str">
        <f>IFERROR(_xlfn.XLOOKUP(db!X1,db!A:A,db!L:L),"")</f>
        <v>SR</v>
      </c>
      <c r="C12" s="6" t="s">
        <v>40</v>
      </c>
      <c r="D12" s="27" t="str">
        <f>IFERROR(_xlfn.XLOOKUP(db!X1,db!A:A,db!M:M),"")</f>
        <v>SR</v>
      </c>
      <c r="F12" s="15" t="s">
        <v>46</v>
      </c>
      <c r="G12" s="84" t="str">
        <f>MID(F13,1,1)</f>
        <v>o</v>
      </c>
      <c r="H12" s="85" t="str">
        <f>MID(F13,2,1)</f>
        <v>o</v>
      </c>
      <c r="I12" s="86" t="str">
        <f>MID(F13,3,1)</f>
        <v>o</v>
      </c>
      <c r="J12" s="13"/>
      <c r="K12" s="10"/>
    </row>
    <row r="13" spans="1:15" x14ac:dyDescent="0.2">
      <c r="A13" s="6"/>
      <c r="B13" s="2"/>
      <c r="C13" s="6"/>
      <c r="D13" s="2"/>
      <c r="F13" s="26" t="str">
        <f>IFERROR(_xlfn.XLOOKUP(db!X1,db!A:A,db!V:V),"")</f>
        <v>ooooooooo</v>
      </c>
      <c r="G13" s="76"/>
      <c r="H13" s="78"/>
      <c r="I13" s="80"/>
      <c r="J13" s="13"/>
      <c r="K13" s="10"/>
    </row>
    <row r="14" spans="1:15" x14ac:dyDescent="0.2">
      <c r="A14" s="6" t="s">
        <v>37</v>
      </c>
      <c r="B14" s="27" t="str">
        <f>IFERROR(_xlfn.XLOOKUP(db!X1,db!A:A,db!N:N),"")</f>
        <v>Fisurada</v>
      </c>
      <c r="C14" s="6" t="s">
        <v>41</v>
      </c>
      <c r="D14" s="27" t="str">
        <f>IFERROR(_xlfn.XLOOKUP(db!X1,db!A:A,db!O:O),"")</f>
        <v>Optima</v>
      </c>
      <c r="G14" s="76" t="str">
        <f>MID(F13,4,1)</f>
        <v>o</v>
      </c>
      <c r="H14" s="78" t="str">
        <f>MID(F13,5,1)</f>
        <v>o</v>
      </c>
      <c r="I14" s="80" t="str">
        <f>MID(F13,6,1)</f>
        <v>o</v>
      </c>
      <c r="J14" s="13"/>
      <c r="K14" s="10"/>
    </row>
    <row r="15" spans="1:15" x14ac:dyDescent="0.2">
      <c r="A15" s="6"/>
      <c r="B15" s="2"/>
      <c r="D15" s="2"/>
      <c r="G15" s="76"/>
      <c r="H15" s="78"/>
      <c r="I15" s="80"/>
      <c r="J15" s="13"/>
      <c r="K15" s="10"/>
    </row>
    <row r="16" spans="1:15" x14ac:dyDescent="0.2">
      <c r="A16" s="6" t="s">
        <v>38</v>
      </c>
      <c r="B16" s="27" t="str">
        <f>IFERROR(_xlfn.XLOOKUP(db!X1,db!A:A,db!P:P),"")</f>
        <v>Optimo</v>
      </c>
      <c r="D16" s="2"/>
      <c r="G16" s="76" t="str">
        <f>MID(F13,7,1)</f>
        <v>o</v>
      </c>
      <c r="H16" s="78" t="str">
        <f>MID(F13,8,1)</f>
        <v>o</v>
      </c>
      <c r="I16" s="80" t="str">
        <f>MID(F13,9,1)</f>
        <v>o</v>
      </c>
      <c r="J16" s="13" t="s">
        <v>28</v>
      </c>
      <c r="K16" s="10"/>
    </row>
    <row r="17" spans="1:11" x14ac:dyDescent="0.2">
      <c r="A17" s="7"/>
      <c r="G17" s="77"/>
      <c r="H17" s="79"/>
      <c r="I17" s="81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82" t="str">
        <f>IFERROR(_xlfn.XLOOKUP(db!X1,db!A:A,db!Q:Q),"")</f>
        <v>Cambio de pantalla + vidrio ceramico</v>
      </c>
      <c r="B19" s="82"/>
      <c r="C19" s="82"/>
      <c r="D19" s="82"/>
      <c r="E19" s="82"/>
      <c r="F19" s="82"/>
      <c r="G19" s="82"/>
      <c r="H19" s="82"/>
      <c r="I19" s="82"/>
      <c r="J19" s="82"/>
      <c r="K19" s="14"/>
    </row>
    <row r="20" spans="1:11" x14ac:dyDescent="0.2">
      <c r="A20" s="82"/>
      <c r="B20" s="82"/>
      <c r="C20" s="82"/>
      <c r="D20" s="82"/>
      <c r="E20" s="82"/>
      <c r="F20" s="82"/>
      <c r="G20" s="82"/>
      <c r="H20" s="82"/>
      <c r="I20" s="82"/>
      <c r="J20" s="82"/>
      <c r="K20" s="14"/>
    </row>
    <row r="21" spans="1:11" x14ac:dyDescent="0.2">
      <c r="A21" s="7" t="s">
        <v>69</v>
      </c>
      <c r="B21" s="12" t="str">
        <f>IFERROR(_xlfn.XLOOKUP(db!X1,db!A:A,db!R:R),"")</f>
        <v>sin simcard ni forro -- bandeja de sim color blanco -- tapa fisurada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IFERROR(_xlfn.XLOOKUP(db!X1,db!A:A,db!S:S),"")</f>
        <v>115000</v>
      </c>
      <c r="C24" s="9" t="s">
        <v>52</v>
      </c>
      <c r="D24" s="17">
        <f>IFERROR(_xlfn.XLOOKUP(db!X1,db!A:A,db!T:T),"")</f>
        <v>0</v>
      </c>
      <c r="E24" s="9" t="s">
        <v>53</v>
      </c>
      <c r="F24" s="17">
        <f>IFERROR(_xlfn.XLOOKUP(db!X1,db!A:A,db!U:U),"")</f>
        <v>-115000</v>
      </c>
      <c r="G24" s="9"/>
      <c r="H24" s="7" t="s">
        <v>131</v>
      </c>
      <c r="I24" s="48" t="str">
        <f>IFERROR(_xlfn.XLOOKUP(Consulta!J1,db!A:A,db!W:W),"")</f>
        <v>Reparado</v>
      </c>
    </row>
    <row r="26" spans="1:11" ht="14" customHeight="1" x14ac:dyDescent="0.2">
      <c r="A26" s="83" t="str">
        <f>_xlfn.XLOOKUP(dbp!E1,dbp!A:A,dbp!C:C,"")</f>
        <v>Equipo reparado y listo para entregar al cliente</v>
      </c>
      <c r="B26" s="83"/>
      <c r="C26" s="83"/>
      <c r="D26" s="83"/>
      <c r="E26" s="83"/>
      <c r="F26" s="83"/>
      <c r="G26" s="83"/>
      <c r="H26" s="83"/>
      <c r="I26" s="83"/>
      <c r="J26" s="83"/>
      <c r="K26" s="83"/>
    </row>
    <row r="27" spans="1:11" x14ac:dyDescent="0.2">
      <c r="A27" s="83"/>
      <c r="B27" s="83"/>
      <c r="C27" s="83"/>
      <c r="D27" s="83"/>
      <c r="E27" s="83"/>
      <c r="F27" s="83"/>
      <c r="G27" s="83"/>
      <c r="H27" s="83"/>
      <c r="I27" s="83"/>
      <c r="J27" s="83"/>
      <c r="K27" s="83"/>
    </row>
    <row r="28" spans="1:11" x14ac:dyDescent="0.2">
      <c r="A28" s="6" t="s">
        <v>139</v>
      </c>
      <c r="B28" s="41">
        <f>_xlfn.XLOOKUP(dbp!E1,dbp!A:A,dbp!B:B,"")</f>
        <v>45203.927421064815</v>
      </c>
      <c r="C28" s="6" t="s">
        <v>138</v>
      </c>
      <c r="D28" s="75">
        <f>_xlfn.XLOOKUP(dbp!E1,dbp!A:A,dbp!B:B,"")</f>
        <v>45203.927421064815</v>
      </c>
      <c r="E28" s="75"/>
    </row>
  </sheetData>
  <mergeCells count="19">
    <mergeCell ref="A9:J9"/>
    <mergeCell ref="H8:J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D28:E28"/>
    <mergeCell ref="G16:G17"/>
    <mergeCell ref="H16:H17"/>
    <mergeCell ref="I16:I17"/>
    <mergeCell ref="A19:J20"/>
    <mergeCell ref="A26:K27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N14"/>
  <sheetViews>
    <sheetView showGridLines="0" workbookViewId="0">
      <selection activeCell="B2" sqref="B2"/>
    </sheetView>
  </sheetViews>
  <sheetFormatPr baseColWidth="10" defaultRowHeight="14" x14ac:dyDescent="0.2"/>
  <cols>
    <col min="9" max="9" width="14" bestFit="1" customWidth="1"/>
  </cols>
  <sheetData>
    <row r="1" spans="1:14" x14ac:dyDescent="0.2">
      <c r="A1" s="1" t="s">
        <v>54</v>
      </c>
      <c r="B1" s="27">
        <v>30</v>
      </c>
      <c r="H1">
        <f>B1</f>
        <v>30</v>
      </c>
      <c r="I1" s="39">
        <f ca="1">NOW()</f>
        <v>45203.92756527778</v>
      </c>
      <c r="J1">
        <f>A10</f>
        <v>0</v>
      </c>
      <c r="K1">
        <f>D14</f>
        <v>0</v>
      </c>
      <c r="N1" t="s">
        <v>178</v>
      </c>
    </row>
    <row r="2" spans="1:14" x14ac:dyDescent="0.2">
      <c r="N2" t="s">
        <v>179</v>
      </c>
    </row>
    <row r="3" spans="1:14" x14ac:dyDescent="0.2">
      <c r="A3" s="1" t="s">
        <v>58</v>
      </c>
      <c r="B3" s="27" t="str">
        <f>_xlfn.XLOOKUP(db!Y1,db!A:A,db!C:C,"")</f>
        <v>Dayana Forero</v>
      </c>
      <c r="C3" s="40"/>
      <c r="D3" s="1" t="s">
        <v>132</v>
      </c>
      <c r="E3" s="27">
        <f>_xlfn.XLOOKUP(db!Y1,db!A:A,db!E:E,"")</f>
        <v>3118965010</v>
      </c>
      <c r="N3" t="s">
        <v>180</v>
      </c>
    </row>
    <row r="5" spans="1:14" x14ac:dyDescent="0.2">
      <c r="A5" t="s">
        <v>135</v>
      </c>
      <c r="B5" s="1" t="str">
        <f>_xlfn.XLOOKUP(B1,db!A:A,db!G:G,"")</f>
        <v>A21s</v>
      </c>
      <c r="C5" s="1"/>
      <c r="D5" s="1"/>
      <c r="E5" s="27"/>
    </row>
    <row r="7" spans="1:14" x14ac:dyDescent="0.2">
      <c r="A7" s="1" t="s">
        <v>134</v>
      </c>
      <c r="B7" s="1" t="str">
        <f>_xlfn.XLOOKUP(db!Y1,db!A:A,db!Q:Q,"")</f>
        <v>Cambio de pantalla + vidrio ceramico</v>
      </c>
      <c r="C7" s="27"/>
      <c r="D7" s="4"/>
    </row>
    <row r="9" spans="1:14" x14ac:dyDescent="0.2">
      <c r="A9" s="1"/>
      <c r="B9" s="1"/>
      <c r="C9" s="1"/>
      <c r="D9" s="1"/>
      <c r="E9" s="1"/>
    </row>
    <row r="10" spans="1:14" x14ac:dyDescent="0.2">
      <c r="A10" s="94"/>
      <c r="B10" s="94"/>
      <c r="C10" s="94"/>
      <c r="D10" s="94"/>
      <c r="E10" s="95"/>
    </row>
    <row r="11" spans="1:14" x14ac:dyDescent="0.2">
      <c r="A11" s="96"/>
      <c r="B11" s="96"/>
      <c r="C11" s="96"/>
      <c r="D11" s="96"/>
      <c r="E11" s="97"/>
    </row>
    <row r="12" spans="1:14" x14ac:dyDescent="0.2">
      <c r="A12" s="96"/>
      <c r="B12" s="96"/>
      <c r="C12" s="96"/>
      <c r="D12" s="96"/>
      <c r="E12" s="97"/>
    </row>
    <row r="13" spans="1:14" ht="15" thickBot="1" x14ac:dyDescent="0.25">
      <c r="A13" s="96"/>
      <c r="B13" s="96"/>
      <c r="C13" s="96"/>
      <c r="D13" s="96"/>
      <c r="E13" s="97"/>
    </row>
    <row r="14" spans="1:14" ht="15" thickBot="1" x14ac:dyDescent="0.25">
      <c r="C14" s="49" t="s">
        <v>131</v>
      </c>
      <c r="D14" s="98"/>
      <c r="E14" s="99"/>
    </row>
  </sheetData>
  <mergeCells count="2">
    <mergeCell ref="A10:E13"/>
    <mergeCell ref="D14:E14"/>
  </mergeCells>
  <dataValidations count="1">
    <dataValidation type="list" allowBlank="1" showInputMessage="1" showErrorMessage="1" sqref="D14:E14" xr:uid="{BD676B8C-4409-B14F-A85E-8E53ED1DB354}">
      <formula1>$N$1:$N$3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s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4"/>
  <sheetViews>
    <sheetView showGridLines="0" workbookViewId="0">
      <selection activeCell="A51" sqref="A51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6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62" t="s">
        <v>29</v>
      </c>
      <c r="B1" s="62"/>
      <c r="C1" s="62"/>
      <c r="D1" s="62"/>
      <c r="I1" t="s">
        <v>54</v>
      </c>
      <c r="J1">
        <f>Hoja1!J1</f>
        <v>31</v>
      </c>
      <c r="K1" s="10"/>
    </row>
    <row r="2" spans="1:11" ht="13" customHeight="1" x14ac:dyDescent="0.2">
      <c r="A2" s="62"/>
      <c r="B2" s="62"/>
      <c r="C2" s="62"/>
      <c r="D2" s="62"/>
      <c r="F2" s="4" t="s">
        <v>42</v>
      </c>
      <c r="G2" t="s">
        <v>30</v>
      </c>
      <c r="K2" s="10"/>
    </row>
    <row r="3" spans="1:11" ht="13" customHeight="1" thickBot="1" x14ac:dyDescent="0.25">
      <c r="A3" s="63"/>
      <c r="B3" s="63"/>
      <c r="C3" s="63"/>
      <c r="D3" s="63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69">
        <f ca="1">TODAY()</f>
        <v>45203</v>
      </c>
      <c r="C4" s="69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90">
        <f>Hoja1!B6</f>
        <v>0</v>
      </c>
      <c r="C6" s="91"/>
      <c r="D6" s="6" t="s">
        <v>59</v>
      </c>
      <c r="E6" s="90">
        <f>Hoja1!E6</f>
        <v>0</v>
      </c>
      <c r="F6" s="90"/>
      <c r="G6" s="6" t="s">
        <v>100</v>
      </c>
      <c r="H6" s="92">
        <f>Hoja1!H6</f>
        <v>0</v>
      </c>
      <c r="I6" s="92"/>
      <c r="J6" s="93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103">
        <f>Hoja1!H8</f>
        <v>0</v>
      </c>
      <c r="I8" s="87"/>
      <c r="J8" s="87"/>
      <c r="K8" s="10"/>
    </row>
    <row r="9" spans="1:11" ht="13" customHeight="1" x14ac:dyDescent="0.2">
      <c r="A9" s="61" t="s">
        <v>0</v>
      </c>
      <c r="B9" s="61"/>
      <c r="C9" s="61"/>
      <c r="D9" s="61"/>
      <c r="E9" s="61"/>
      <c r="F9" s="61"/>
      <c r="G9" s="61"/>
      <c r="H9" s="61"/>
      <c r="I9" s="61"/>
      <c r="J9" s="61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92">
        <f>Hoja1!G10</f>
        <v>0</v>
      </c>
      <c r="H10" s="92"/>
      <c r="I10" s="92"/>
      <c r="J10" s="92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84" t="str">
        <f>Hoja1!G12</f>
        <v>o</v>
      </c>
      <c r="H12" s="85" t="str">
        <f>Hoja1!H12</f>
        <v>o</v>
      </c>
      <c r="I12" s="86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76"/>
      <c r="H13" s="78"/>
      <c r="I13" s="80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76" t="str">
        <f>Hoja1!G14</f>
        <v>o</v>
      </c>
      <c r="H14" s="78" t="str">
        <f>Hoja1!H14</f>
        <v>o</v>
      </c>
      <c r="I14" s="80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76"/>
      <c r="H15" s="78"/>
      <c r="I15" s="80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76" t="str">
        <f>Hoja1!G16</f>
        <v>o</v>
      </c>
      <c r="H16" s="78" t="str">
        <f>Hoja1!H16</f>
        <v>o</v>
      </c>
      <c r="I16" s="80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77"/>
      <c r="H17" s="79"/>
      <c r="I17" s="81"/>
      <c r="J17" s="13"/>
      <c r="K17" s="10"/>
    </row>
    <row r="18" spans="1:11" ht="13" customHeight="1" x14ac:dyDescent="0.2">
      <c r="A18" s="53" t="s">
        <v>68</v>
      </c>
      <c r="B18" s="53"/>
      <c r="C18" s="53"/>
      <c r="D18" s="53"/>
      <c r="E18" s="53"/>
      <c r="F18" s="53"/>
      <c r="G18" s="53"/>
      <c r="H18" s="53"/>
      <c r="I18" s="53"/>
      <c r="J18" s="54"/>
      <c r="K18" s="10"/>
    </row>
    <row r="19" spans="1:11" ht="13" customHeight="1" x14ac:dyDescent="0.2">
      <c r="A19" s="100">
        <f>Hoja1!A19</f>
        <v>0</v>
      </c>
      <c r="B19" s="100"/>
      <c r="C19" s="100"/>
      <c r="D19" s="100"/>
      <c r="E19" s="100"/>
      <c r="F19" s="100"/>
      <c r="G19" s="100"/>
      <c r="H19" s="100"/>
      <c r="I19" s="100"/>
      <c r="J19" s="100"/>
      <c r="K19" s="14"/>
    </row>
    <row r="20" spans="1:11" ht="13" customHeight="1" x14ac:dyDescent="0.2">
      <c r="A20" s="100"/>
      <c r="B20" s="100"/>
      <c r="C20" s="100"/>
      <c r="D20" s="100"/>
      <c r="E20" s="100"/>
      <c r="F20" s="100"/>
      <c r="G20" s="100"/>
      <c r="H20" s="100"/>
      <c r="I20" s="100"/>
      <c r="J20" s="100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/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57"/>
      <c r="H23" s="57"/>
      <c r="I23" s="57"/>
      <c r="J23" s="57"/>
      <c r="K23" s="58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59"/>
      <c r="H24" s="59"/>
      <c r="I24" s="59"/>
      <c r="J24" s="59"/>
      <c r="K24" s="60"/>
    </row>
    <row r="27" spans="1:11" ht="13" customHeight="1" x14ac:dyDescent="0.2">
      <c r="A27" s="34" t="s">
        <v>176</v>
      </c>
    </row>
    <row r="28" spans="1:11" ht="13" customHeight="1" x14ac:dyDescent="0.2">
      <c r="A28" s="34"/>
      <c r="H28" s="87" t="s">
        <v>58</v>
      </c>
      <c r="I28" s="87"/>
      <c r="J28" s="87"/>
      <c r="K28" s="87"/>
    </row>
    <row r="29" spans="1:11" ht="13" customHeight="1" x14ac:dyDescent="0.2">
      <c r="A29" s="62" t="s">
        <v>29</v>
      </c>
      <c r="B29" s="62"/>
      <c r="C29" s="62"/>
      <c r="D29" s="62"/>
      <c r="I29" t="s">
        <v>54</v>
      </c>
      <c r="J29">
        <f>J1</f>
        <v>31</v>
      </c>
      <c r="K29" s="10"/>
    </row>
    <row r="30" spans="1:11" ht="13" customHeight="1" x14ac:dyDescent="0.2">
      <c r="A30" s="62"/>
      <c r="B30" s="62"/>
      <c r="C30" s="62"/>
      <c r="D30" s="62"/>
      <c r="F30" s="4" t="s">
        <v>42</v>
      </c>
      <c r="G30" t="s">
        <v>30</v>
      </c>
      <c r="K30" s="10"/>
    </row>
    <row r="31" spans="1:11" ht="13" customHeight="1" thickBot="1" x14ac:dyDescent="0.25">
      <c r="A31" s="63"/>
      <c r="B31" s="63"/>
      <c r="C31" s="63"/>
      <c r="D31" s="63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69">
        <f ca="1">B4</f>
        <v>45203</v>
      </c>
      <c r="C32" s="69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90">
        <f>B6</f>
        <v>0</v>
      </c>
      <c r="C34" s="91"/>
      <c r="D34" s="6" t="s">
        <v>59</v>
      </c>
      <c r="E34" s="90">
        <f>E6</f>
        <v>0</v>
      </c>
      <c r="F34" s="90"/>
      <c r="G34" s="6" t="s">
        <v>92</v>
      </c>
      <c r="H34" s="92">
        <f>H6</f>
        <v>0</v>
      </c>
      <c r="I34" s="92"/>
      <c r="J34" s="93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61" t="s">
        <v>0</v>
      </c>
      <c r="B37" s="61"/>
      <c r="C37" s="61"/>
      <c r="D37" s="61"/>
      <c r="E37" s="61"/>
      <c r="F37" s="61"/>
      <c r="G37" s="61"/>
      <c r="H37" s="61"/>
      <c r="I37" s="61"/>
      <c r="J37" s="61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84" t="str">
        <f>G12</f>
        <v>o</v>
      </c>
      <c r="H40" s="85" t="str">
        <f>H12</f>
        <v>o</v>
      </c>
      <c r="I40" s="86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76"/>
      <c r="H41" s="78"/>
      <c r="I41" s="80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76" t="str">
        <f>G14</f>
        <v>o</v>
      </c>
      <c r="H42" s="78" t="str">
        <f>H14</f>
        <v>o</v>
      </c>
      <c r="I42" s="80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76"/>
      <c r="H43" s="78"/>
      <c r="I43" s="80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76" t="str">
        <f>G16</f>
        <v>o</v>
      </c>
      <c r="H44" s="78" t="str">
        <f>H16</f>
        <v>o</v>
      </c>
      <c r="I44" s="80" t="str">
        <f>I16</f>
        <v>o</v>
      </c>
      <c r="J44" s="13" t="s">
        <v>28</v>
      </c>
      <c r="K44" s="10"/>
    </row>
    <row r="45" spans="1:11" ht="13" customHeight="1" x14ac:dyDescent="0.2">
      <c r="A45" s="7"/>
      <c r="G45" s="77"/>
      <c r="H45" s="79"/>
      <c r="I45" s="81"/>
      <c r="J45" s="13"/>
      <c r="K45" s="10"/>
    </row>
    <row r="46" spans="1:11" ht="13" customHeight="1" x14ac:dyDescent="0.2">
      <c r="A46" s="53" t="s">
        <v>68</v>
      </c>
      <c r="B46" s="53"/>
      <c r="C46" s="53"/>
      <c r="D46" s="53"/>
      <c r="E46" s="53"/>
      <c r="F46" s="53"/>
      <c r="G46" s="53"/>
      <c r="H46" s="53"/>
      <c r="I46" s="53"/>
      <c r="J46" s="54"/>
      <c r="K46" s="10"/>
    </row>
    <row r="47" spans="1:11" ht="13" customHeight="1" x14ac:dyDescent="0.2">
      <c r="A47" s="100">
        <f>A19</f>
        <v>0</v>
      </c>
      <c r="B47" s="100"/>
      <c r="C47" s="100"/>
      <c r="D47" s="100"/>
      <c r="E47" s="100"/>
      <c r="F47" s="100"/>
      <c r="G47" s="100"/>
      <c r="H47" s="100"/>
      <c r="I47" s="100"/>
      <c r="J47" s="100"/>
      <c r="K47" s="14"/>
    </row>
    <row r="48" spans="1:11" ht="13" customHeight="1" x14ac:dyDescent="0.2">
      <c r="A48" s="100"/>
      <c r="B48" s="100"/>
      <c r="C48" s="100"/>
      <c r="D48" s="100"/>
      <c r="E48" s="100"/>
      <c r="F48" s="100"/>
      <c r="G48" s="100"/>
      <c r="H48" s="100"/>
      <c r="I48" s="100"/>
      <c r="J48" s="100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29" customHeight="1" x14ac:dyDescent="0.2">
      <c r="A50" s="101" t="s">
        <v>177</v>
      </c>
      <c r="B50" s="101"/>
      <c r="C50" s="101"/>
      <c r="D50" s="101"/>
      <c r="E50" s="101"/>
      <c r="F50" s="101"/>
      <c r="G50" s="101"/>
      <c r="H50" s="101"/>
      <c r="I50" s="101"/>
      <c r="J50" s="101"/>
      <c r="K50" s="102"/>
    </row>
    <row r="51" spans="1:11" ht="35" customHeight="1" thickBot="1" x14ac:dyDescent="0.25">
      <c r="A51" s="9" t="s">
        <v>45</v>
      </c>
      <c r="B51" s="9"/>
      <c r="C51" s="9"/>
      <c r="D51" s="9"/>
      <c r="E51" s="9"/>
      <c r="F51" s="9" t="s">
        <v>44</v>
      </c>
      <c r="G51" s="9"/>
      <c r="H51" s="9"/>
      <c r="I51" s="9"/>
      <c r="J51" s="9"/>
      <c r="K51" s="11"/>
    </row>
    <row r="52" spans="1:11" ht="15" customHeight="1" thickBot="1" x14ac:dyDescent="0.25">
      <c r="A52">
        <f>B6</f>
        <v>0</v>
      </c>
      <c r="K52" s="10"/>
    </row>
    <row r="53" spans="1:11" ht="13" customHeight="1" x14ac:dyDescent="0.2">
      <c r="A53" s="16"/>
      <c r="B53" s="16"/>
      <c r="C53" s="16"/>
      <c r="D53" s="16"/>
      <c r="E53" s="16"/>
      <c r="F53" s="16"/>
      <c r="G53" s="57"/>
      <c r="H53" s="57"/>
      <c r="I53" s="57"/>
      <c r="J53" s="57"/>
      <c r="K53" s="58"/>
    </row>
    <row r="54" spans="1:11" ht="13" customHeight="1" thickBot="1" x14ac:dyDescent="0.25">
      <c r="A54" s="9" t="s">
        <v>51</v>
      </c>
      <c r="B54" s="17">
        <f>B24</f>
        <v>0</v>
      </c>
      <c r="C54" s="9" t="s">
        <v>52</v>
      </c>
      <c r="D54" s="17">
        <f>D24</f>
        <v>0</v>
      </c>
      <c r="E54" s="9" t="s">
        <v>53</v>
      </c>
      <c r="F54" s="17">
        <f>D54-B54</f>
        <v>0</v>
      </c>
      <c r="G54" s="59"/>
      <c r="H54" s="59"/>
      <c r="I54" s="59"/>
      <c r="J54" s="59"/>
      <c r="K54" s="60"/>
    </row>
  </sheetData>
  <mergeCells count="40">
    <mergeCell ref="A50:K50"/>
    <mergeCell ref="A47:J48"/>
    <mergeCell ref="G53:K54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  <mergeCell ref="G40:G41"/>
    <mergeCell ref="I40:I41"/>
    <mergeCell ref="G16:G17"/>
    <mergeCell ref="H16:H17"/>
    <mergeCell ref="I16:I17"/>
    <mergeCell ref="A19:J20"/>
    <mergeCell ref="G23:K24"/>
    <mergeCell ref="A29:D31"/>
    <mergeCell ref="A9:J9"/>
    <mergeCell ref="A18:J18"/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104" t="str">
        <f>Hoja1!A1</f>
        <v>Geek Tecnology</v>
      </c>
      <c r="B1" s="104"/>
      <c r="C1" s="104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7"/>
  <sheetViews>
    <sheetView workbookViewId="0">
      <selection activeCell="C14" sqref="C14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32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131</v>
      </c>
      <c r="X1">
        <f>Consulta!J1</f>
        <v>30</v>
      </c>
      <c r="Y1">
        <f>Procesos!B1</f>
        <v>30</v>
      </c>
    </row>
    <row r="2" spans="1:25" x14ac:dyDescent="0.2">
      <c r="A2">
        <v>30</v>
      </c>
      <c r="B2">
        <v>45203</v>
      </c>
      <c r="C2" t="s">
        <v>241</v>
      </c>
      <c r="D2">
        <v>0</v>
      </c>
      <c r="E2">
        <v>3118965010</v>
      </c>
      <c r="F2" t="s">
        <v>75</v>
      </c>
      <c r="G2" t="s">
        <v>242</v>
      </c>
      <c r="H2">
        <v>0</v>
      </c>
      <c r="I2" t="s">
        <v>8</v>
      </c>
      <c r="J2" t="s">
        <v>48</v>
      </c>
      <c r="K2">
        <v>0</v>
      </c>
      <c r="L2" t="s">
        <v>48</v>
      </c>
      <c r="M2" t="s">
        <v>48</v>
      </c>
      <c r="N2" t="s">
        <v>15</v>
      </c>
      <c r="O2" t="s">
        <v>14</v>
      </c>
      <c r="P2" t="s">
        <v>25</v>
      </c>
      <c r="Q2" t="s">
        <v>244</v>
      </c>
      <c r="R2" t="s">
        <v>243</v>
      </c>
      <c r="S2">
        <v>115000</v>
      </c>
      <c r="T2">
        <v>0</v>
      </c>
      <c r="U2">
        <v>-115000</v>
      </c>
      <c r="V2" t="s">
        <v>117</v>
      </c>
      <c r="W2" t="str">
        <f>IFERROR(_xlfn.XLOOKUP(dbform[[#This Row],[Orden]],dbp!A:A,dbp!D:D),"Sin Procesos")</f>
        <v>Reparado</v>
      </c>
    </row>
    <row r="3" spans="1:25" x14ac:dyDescent="0.2">
      <c r="W3">
        <f>IFERROR(_xlfn.XLOOKUP(dbform[[#This Row],[Orden]],dbp!A:A,dbp!D:D),"Sin Procesos")</f>
        <v>0</v>
      </c>
    </row>
    <row r="4" spans="1:25" x14ac:dyDescent="0.2">
      <c r="A4">
        <v>29</v>
      </c>
      <c r="B4">
        <v>45203</v>
      </c>
      <c r="C4" t="s">
        <v>237</v>
      </c>
      <c r="D4">
        <v>16832730</v>
      </c>
      <c r="E4">
        <v>3013950263</v>
      </c>
      <c r="F4" t="s">
        <v>71</v>
      </c>
      <c r="G4" t="s">
        <v>238</v>
      </c>
      <c r="H4">
        <v>0</v>
      </c>
      <c r="I4" t="s">
        <v>8</v>
      </c>
      <c r="J4" t="s">
        <v>48</v>
      </c>
      <c r="K4">
        <v>0</v>
      </c>
      <c r="L4" t="s">
        <v>48</v>
      </c>
      <c r="M4" t="s">
        <v>48</v>
      </c>
      <c r="N4" t="s">
        <v>18</v>
      </c>
      <c r="O4" t="s">
        <v>14</v>
      </c>
      <c r="P4" t="s">
        <v>25</v>
      </c>
      <c r="Q4" t="s">
        <v>73</v>
      </c>
      <c r="R4" t="s">
        <v>239</v>
      </c>
      <c r="S4">
        <v>115000</v>
      </c>
      <c r="T4">
        <v>0</v>
      </c>
      <c r="U4">
        <v>-115000</v>
      </c>
      <c r="V4" t="s">
        <v>240</v>
      </c>
      <c r="W4" t="str">
        <f>IFERROR(_xlfn.XLOOKUP(dbform[[#This Row],[Orden]],dbp!A:A,dbp!D:D),"Sin Procesos")</f>
        <v>Sin Procesos</v>
      </c>
    </row>
    <row r="5" spans="1:25" x14ac:dyDescent="0.2">
      <c r="A5">
        <v>28</v>
      </c>
      <c r="B5">
        <v>45202</v>
      </c>
      <c r="C5" t="s">
        <v>229</v>
      </c>
      <c r="D5">
        <v>1073157989</v>
      </c>
      <c r="E5">
        <v>3001658026</v>
      </c>
      <c r="F5" t="s">
        <v>230</v>
      </c>
      <c r="G5" t="s">
        <v>231</v>
      </c>
      <c r="H5">
        <v>0</v>
      </c>
      <c r="I5" t="s">
        <v>8</v>
      </c>
      <c r="J5">
        <v>0</v>
      </c>
      <c r="K5" t="s">
        <v>232</v>
      </c>
      <c r="L5">
        <v>0</v>
      </c>
      <c r="M5">
        <v>0</v>
      </c>
      <c r="N5" t="s">
        <v>16</v>
      </c>
      <c r="O5" t="s">
        <v>14</v>
      </c>
      <c r="P5" t="s">
        <v>25</v>
      </c>
      <c r="Q5" t="s">
        <v>234</v>
      </c>
      <c r="R5" t="s">
        <v>235</v>
      </c>
      <c r="S5">
        <v>140000</v>
      </c>
      <c r="T5">
        <v>140000</v>
      </c>
      <c r="U5">
        <v>0</v>
      </c>
      <c r="V5" t="s">
        <v>117</v>
      </c>
      <c r="W5" t="str">
        <f>IFERROR(_xlfn.XLOOKUP(dbform[[#This Row],[Orden]],dbp!A:A,dbp!D:D),"Sin Procesos")</f>
        <v>Entregado</v>
      </c>
    </row>
    <row r="6" spans="1:25" x14ac:dyDescent="0.2">
      <c r="A6">
        <v>27</v>
      </c>
      <c r="B6">
        <v>45201</v>
      </c>
      <c r="C6" t="s">
        <v>222</v>
      </c>
      <c r="D6">
        <v>0</v>
      </c>
      <c r="E6">
        <v>3166151933</v>
      </c>
      <c r="F6" t="s">
        <v>123</v>
      </c>
      <c r="G6" t="s">
        <v>223</v>
      </c>
      <c r="H6">
        <v>0</v>
      </c>
      <c r="I6" t="s">
        <v>8</v>
      </c>
      <c r="J6">
        <v>0</v>
      </c>
      <c r="K6" t="s">
        <v>226</v>
      </c>
      <c r="L6">
        <v>0</v>
      </c>
      <c r="M6">
        <v>0</v>
      </c>
      <c r="N6" t="s">
        <v>16</v>
      </c>
      <c r="O6">
        <v>0</v>
      </c>
      <c r="P6" t="s">
        <v>25</v>
      </c>
      <c r="Q6" t="s">
        <v>224</v>
      </c>
      <c r="R6" t="s">
        <v>225</v>
      </c>
      <c r="S6">
        <v>100000</v>
      </c>
      <c r="T6">
        <v>0</v>
      </c>
      <c r="U6">
        <v>-100000</v>
      </c>
      <c r="V6" t="s">
        <v>117</v>
      </c>
      <c r="W6" t="str">
        <f>IFERROR(_xlfn.XLOOKUP(dbform[[#This Row],[Orden]],dbp!A:A,dbp!D:D),"Sin Procesos")</f>
        <v>Sin Procesos</v>
      </c>
    </row>
    <row r="7" spans="1:25" x14ac:dyDescent="0.2">
      <c r="A7">
        <v>26</v>
      </c>
      <c r="B7">
        <v>45201</v>
      </c>
      <c r="C7" t="s">
        <v>218</v>
      </c>
      <c r="D7">
        <v>0</v>
      </c>
      <c r="E7">
        <v>3113034083</v>
      </c>
      <c r="F7" t="s">
        <v>219</v>
      </c>
      <c r="G7" t="s">
        <v>220</v>
      </c>
      <c r="H7">
        <v>0</v>
      </c>
      <c r="I7" t="s">
        <v>8</v>
      </c>
      <c r="J7">
        <v>0</v>
      </c>
      <c r="K7">
        <v>0</v>
      </c>
      <c r="L7">
        <v>0</v>
      </c>
      <c r="M7">
        <v>0</v>
      </c>
      <c r="N7" t="s">
        <v>16</v>
      </c>
      <c r="O7" t="s">
        <v>14</v>
      </c>
      <c r="P7" t="s">
        <v>21</v>
      </c>
      <c r="Q7" t="s">
        <v>73</v>
      </c>
      <c r="R7" t="s">
        <v>221</v>
      </c>
      <c r="S7">
        <v>110000</v>
      </c>
      <c r="T7">
        <v>20000</v>
      </c>
      <c r="U7">
        <v>-90000</v>
      </c>
      <c r="V7" t="s">
        <v>117</v>
      </c>
      <c r="W7" t="str">
        <f>IFERROR(_xlfn.XLOOKUP(dbform[[#This Row],[Orden]],dbp!A:A,dbp!D:D),"Sin Procesos")</f>
        <v>Entregado</v>
      </c>
    </row>
    <row r="8" spans="1:25" x14ac:dyDescent="0.2">
      <c r="A8">
        <v>25</v>
      </c>
      <c r="B8">
        <v>45200</v>
      </c>
      <c r="C8" t="s">
        <v>213</v>
      </c>
      <c r="D8">
        <v>0</v>
      </c>
      <c r="E8">
        <v>3016414990</v>
      </c>
      <c r="F8" t="s">
        <v>214</v>
      </c>
      <c r="G8" t="s">
        <v>215</v>
      </c>
      <c r="H8">
        <v>0</v>
      </c>
      <c r="I8" t="s">
        <v>9</v>
      </c>
      <c r="J8">
        <v>0</v>
      </c>
      <c r="K8">
        <v>0</v>
      </c>
      <c r="L8">
        <v>0</v>
      </c>
      <c r="M8">
        <v>0</v>
      </c>
      <c r="N8">
        <v>0</v>
      </c>
      <c r="O8" t="s">
        <v>48</v>
      </c>
      <c r="P8" t="s">
        <v>21</v>
      </c>
      <c r="Q8" t="s">
        <v>216</v>
      </c>
      <c r="R8" t="s">
        <v>217</v>
      </c>
      <c r="S8">
        <v>20000</v>
      </c>
      <c r="T8">
        <v>0</v>
      </c>
      <c r="U8">
        <v>-20000</v>
      </c>
      <c r="V8" t="s">
        <v>117</v>
      </c>
      <c r="W8" t="str">
        <f>IFERROR(_xlfn.XLOOKUP(dbform[[#This Row],[Orden]],dbp!A:A,dbp!D:D),"Sin Procesos")</f>
        <v>Reparado</v>
      </c>
    </row>
    <row r="9" spans="1:25" x14ac:dyDescent="0.2">
      <c r="A9">
        <v>24</v>
      </c>
      <c r="B9">
        <v>45200</v>
      </c>
      <c r="C9" t="s">
        <v>210</v>
      </c>
      <c r="D9">
        <v>35355510</v>
      </c>
      <c r="E9">
        <v>3143083538</v>
      </c>
      <c r="F9" t="s">
        <v>123</v>
      </c>
      <c r="G9" t="s">
        <v>212</v>
      </c>
      <c r="H9">
        <v>0</v>
      </c>
      <c r="I9" t="s">
        <v>8</v>
      </c>
      <c r="J9" t="s">
        <v>48</v>
      </c>
      <c r="K9">
        <v>0</v>
      </c>
      <c r="L9" t="s">
        <v>48</v>
      </c>
      <c r="M9" t="s">
        <v>48</v>
      </c>
      <c r="N9" t="s">
        <v>16</v>
      </c>
      <c r="O9" t="s">
        <v>48</v>
      </c>
      <c r="P9" t="s">
        <v>25</v>
      </c>
      <c r="Q9" t="s">
        <v>73</v>
      </c>
      <c r="R9" t="s">
        <v>211</v>
      </c>
      <c r="S9">
        <v>115000</v>
      </c>
      <c r="T9">
        <v>115000</v>
      </c>
      <c r="U9">
        <v>0</v>
      </c>
      <c r="V9" t="s">
        <v>117</v>
      </c>
      <c r="W9" t="str">
        <f>IFERROR(_xlfn.XLOOKUP(dbform[[#This Row],[Orden]],dbp!A:A,dbp!D:D),"Sin Procesos")</f>
        <v>Entregado</v>
      </c>
    </row>
    <row r="10" spans="1:25" x14ac:dyDescent="0.2">
      <c r="A10">
        <v>23</v>
      </c>
      <c r="B10">
        <v>45199</v>
      </c>
      <c r="C10" t="s">
        <v>206</v>
      </c>
      <c r="D10">
        <v>31740191</v>
      </c>
      <c r="E10">
        <v>0</v>
      </c>
      <c r="F10" t="s">
        <v>123</v>
      </c>
      <c r="G10" t="s">
        <v>207</v>
      </c>
      <c r="H10">
        <v>0</v>
      </c>
      <c r="I10" t="s">
        <v>8</v>
      </c>
      <c r="J10" t="s">
        <v>48</v>
      </c>
      <c r="K10">
        <v>0</v>
      </c>
      <c r="L10" t="s">
        <v>48</v>
      </c>
      <c r="M10" t="s">
        <v>48</v>
      </c>
      <c r="N10" t="s">
        <v>16</v>
      </c>
      <c r="O10" t="s">
        <v>48</v>
      </c>
      <c r="P10" t="s">
        <v>21</v>
      </c>
      <c r="Q10" t="s">
        <v>73</v>
      </c>
      <c r="R10" t="s">
        <v>151</v>
      </c>
      <c r="S10">
        <v>120000</v>
      </c>
      <c r="T10">
        <v>120000</v>
      </c>
      <c r="U10">
        <v>0</v>
      </c>
      <c r="V10" t="s">
        <v>208</v>
      </c>
      <c r="W10" t="str">
        <f>IFERROR(_xlfn.XLOOKUP(dbform[[#This Row],[Orden]],dbp!A:A,dbp!D:D),"Sin Procesos")</f>
        <v>Entregado</v>
      </c>
    </row>
    <row r="11" spans="1:25" x14ac:dyDescent="0.2">
      <c r="A11">
        <v>22</v>
      </c>
      <c r="B11">
        <v>45198</v>
      </c>
      <c r="C11" t="s">
        <v>202</v>
      </c>
      <c r="D11">
        <v>1081819800</v>
      </c>
      <c r="E11">
        <v>3112303868</v>
      </c>
      <c r="F11" t="s">
        <v>75</v>
      </c>
      <c r="G11" t="s">
        <v>203</v>
      </c>
      <c r="H11">
        <v>0</v>
      </c>
      <c r="I11" t="s">
        <v>8</v>
      </c>
      <c r="J11" t="s">
        <v>48</v>
      </c>
      <c r="K11" t="s">
        <v>204</v>
      </c>
      <c r="L11" t="s">
        <v>48</v>
      </c>
      <c r="M11" t="s">
        <v>48</v>
      </c>
      <c r="N11" t="s">
        <v>49</v>
      </c>
      <c r="O11" t="s">
        <v>14</v>
      </c>
      <c r="P11" t="s">
        <v>25</v>
      </c>
      <c r="Q11" t="s">
        <v>73</v>
      </c>
      <c r="R11" t="s">
        <v>151</v>
      </c>
      <c r="S11">
        <v>120000</v>
      </c>
      <c r="T11">
        <v>120000</v>
      </c>
      <c r="U11">
        <v>0</v>
      </c>
      <c r="V11" t="s">
        <v>117</v>
      </c>
      <c r="W11" t="str">
        <f>IFERROR(_xlfn.XLOOKUP(dbform[[#This Row],[Orden]],dbp!A:A,dbp!D:D),"Sin Procesos")</f>
        <v>Entregado</v>
      </c>
    </row>
    <row r="12" spans="1:25" x14ac:dyDescent="0.2">
      <c r="A12">
        <v>21</v>
      </c>
      <c r="B12">
        <v>45197</v>
      </c>
      <c r="C12" t="s">
        <v>198</v>
      </c>
      <c r="D12">
        <v>79222682</v>
      </c>
      <c r="E12">
        <v>3142126629</v>
      </c>
      <c r="F12" t="s">
        <v>75</v>
      </c>
      <c r="G12" t="s">
        <v>196</v>
      </c>
      <c r="H12">
        <v>0</v>
      </c>
      <c r="I12" t="s">
        <v>8</v>
      </c>
      <c r="J12" t="s">
        <v>48</v>
      </c>
      <c r="K12" t="s">
        <v>199</v>
      </c>
      <c r="L12" t="s">
        <v>48</v>
      </c>
      <c r="M12" t="s">
        <v>48</v>
      </c>
      <c r="N12" t="s">
        <v>16</v>
      </c>
      <c r="O12" t="s">
        <v>14</v>
      </c>
      <c r="P12" t="s">
        <v>25</v>
      </c>
      <c r="Q12" t="s">
        <v>73</v>
      </c>
      <c r="R12" t="s">
        <v>197</v>
      </c>
      <c r="S12">
        <v>110000</v>
      </c>
      <c r="T12">
        <v>110000</v>
      </c>
      <c r="U12">
        <v>0</v>
      </c>
      <c r="V12" t="s">
        <v>117</v>
      </c>
      <c r="W12">
        <f>IFERROR(_xlfn.XLOOKUP(dbform[[#This Row],[Orden]],dbp!A:A,dbp!D:D),"Sin Procesos")</f>
        <v>0</v>
      </c>
    </row>
    <row r="13" spans="1:25" x14ac:dyDescent="0.2">
      <c r="A13">
        <v>20</v>
      </c>
      <c r="B13">
        <v>45195</v>
      </c>
      <c r="C13" t="s">
        <v>189</v>
      </c>
      <c r="D13">
        <v>1006639196</v>
      </c>
      <c r="E13">
        <v>3209001525</v>
      </c>
      <c r="F13" t="s">
        <v>71</v>
      </c>
      <c r="G13" t="s">
        <v>190</v>
      </c>
      <c r="H13">
        <v>0</v>
      </c>
      <c r="I13" t="s">
        <v>8</v>
      </c>
      <c r="J13" t="s">
        <v>48</v>
      </c>
      <c r="K13">
        <v>0</v>
      </c>
      <c r="L13" t="s">
        <v>48</v>
      </c>
      <c r="M13" t="s">
        <v>48</v>
      </c>
      <c r="N13" t="s">
        <v>15</v>
      </c>
      <c r="O13" t="s">
        <v>14</v>
      </c>
      <c r="P13" t="s">
        <v>25</v>
      </c>
      <c r="Q13" t="s">
        <v>47</v>
      </c>
      <c r="R13" t="s">
        <v>191</v>
      </c>
      <c r="S13">
        <v>115000</v>
      </c>
      <c r="T13">
        <v>115000</v>
      </c>
      <c r="U13">
        <v>0</v>
      </c>
      <c r="V13" t="s">
        <v>192</v>
      </c>
      <c r="W13" t="str">
        <f>IFERROR(_xlfn.XLOOKUP(dbform[[#This Row],[Orden]],dbp!A:A,dbp!D:D),"Sin Procesos")</f>
        <v>Entregado</v>
      </c>
    </row>
    <row r="14" spans="1:25" x14ac:dyDescent="0.2">
      <c r="A14">
        <v>19</v>
      </c>
      <c r="B14">
        <v>45193</v>
      </c>
      <c r="C14" t="s">
        <v>184</v>
      </c>
      <c r="D14">
        <v>78322764</v>
      </c>
      <c r="E14">
        <v>0</v>
      </c>
      <c r="F14" t="s">
        <v>186</v>
      </c>
      <c r="G14" t="s">
        <v>187</v>
      </c>
      <c r="H14">
        <v>0</v>
      </c>
      <c r="I14" t="s">
        <v>9</v>
      </c>
      <c r="J14" t="s">
        <v>48</v>
      </c>
      <c r="K14">
        <v>0</v>
      </c>
      <c r="L14" t="s">
        <v>48</v>
      </c>
      <c r="M14" t="s">
        <v>48</v>
      </c>
      <c r="N14" t="s">
        <v>49</v>
      </c>
      <c r="O14" t="s">
        <v>48</v>
      </c>
      <c r="P14" t="s">
        <v>24</v>
      </c>
      <c r="Q14" t="s">
        <v>185</v>
      </c>
      <c r="R14" t="s">
        <v>188</v>
      </c>
      <c r="S14">
        <v>50000</v>
      </c>
      <c r="T14">
        <v>0</v>
      </c>
      <c r="U14">
        <v>-50000</v>
      </c>
      <c r="V14" t="s">
        <v>117</v>
      </c>
      <c r="W14">
        <f>IFERROR(_xlfn.XLOOKUP(dbform[[#This Row],[Orden]],dbp!A:A,dbp!D:D),"Sin Procesos")</f>
        <v>0</v>
      </c>
    </row>
    <row r="15" spans="1:25" x14ac:dyDescent="0.2">
      <c r="A15">
        <v>18</v>
      </c>
      <c r="B15">
        <v>45188</v>
      </c>
      <c r="C15" t="s">
        <v>171</v>
      </c>
      <c r="D15">
        <v>1121972645</v>
      </c>
      <c r="E15">
        <v>3219105712</v>
      </c>
      <c r="F15" t="s">
        <v>123</v>
      </c>
      <c r="G15" t="s">
        <v>124</v>
      </c>
      <c r="H15">
        <v>0</v>
      </c>
      <c r="I15" t="s">
        <v>8</v>
      </c>
      <c r="J15" t="s">
        <v>48</v>
      </c>
      <c r="K15" t="s">
        <v>173</v>
      </c>
      <c r="L15" t="s">
        <v>48</v>
      </c>
      <c r="M15" t="s">
        <v>48</v>
      </c>
      <c r="N15" t="s">
        <v>49</v>
      </c>
      <c r="O15" t="s">
        <v>14</v>
      </c>
      <c r="P15" t="s">
        <v>23</v>
      </c>
      <c r="Q15" t="s">
        <v>172</v>
      </c>
      <c r="R15" t="s">
        <v>104</v>
      </c>
      <c r="S15">
        <v>165000</v>
      </c>
      <c r="T15">
        <v>0</v>
      </c>
      <c r="U15">
        <v>-165000</v>
      </c>
      <c r="V15" t="s">
        <v>117</v>
      </c>
      <c r="W15" t="str">
        <f>IFERROR(_xlfn.XLOOKUP(dbform[[#This Row],[Orden]],dbp!A:A,dbp!D:D),"Sin Procesos")</f>
        <v>Entregado</v>
      </c>
    </row>
    <row r="16" spans="1:25" x14ac:dyDescent="0.2">
      <c r="A16">
        <v>17</v>
      </c>
      <c r="B16">
        <v>45188</v>
      </c>
      <c r="C16" t="s">
        <v>165</v>
      </c>
      <c r="D16">
        <v>22656096</v>
      </c>
      <c r="E16">
        <v>3177960192</v>
      </c>
      <c r="F16" t="s">
        <v>166</v>
      </c>
      <c r="G16" t="s">
        <v>167</v>
      </c>
      <c r="H16" t="s">
        <v>168</v>
      </c>
      <c r="I16" t="s">
        <v>8</v>
      </c>
      <c r="J16" t="s">
        <v>48</v>
      </c>
      <c r="K16" t="s">
        <v>170</v>
      </c>
      <c r="L16" t="s">
        <v>48</v>
      </c>
      <c r="M16" t="s">
        <v>48</v>
      </c>
      <c r="N16" t="s">
        <v>18</v>
      </c>
      <c r="O16" t="s">
        <v>14</v>
      </c>
      <c r="P16" t="s">
        <v>25</v>
      </c>
      <c r="Q16" t="s">
        <v>73</v>
      </c>
      <c r="R16" t="s">
        <v>169</v>
      </c>
      <c r="S16">
        <v>125000</v>
      </c>
      <c r="T16">
        <v>70000</v>
      </c>
      <c r="U16">
        <v>-55000</v>
      </c>
      <c r="V16" t="s">
        <v>117</v>
      </c>
      <c r="W16" t="str">
        <f>IFERROR(_xlfn.XLOOKUP(dbform[[#This Row],[Orden]],dbp!A:A,dbp!D:D),"Sin Procesos")</f>
        <v>Entregado</v>
      </c>
    </row>
    <row r="17" spans="1:23" x14ac:dyDescent="0.2">
      <c r="A17">
        <v>16</v>
      </c>
      <c r="B17">
        <v>45186</v>
      </c>
      <c r="C17" t="s">
        <v>160</v>
      </c>
      <c r="D17">
        <v>1118538907</v>
      </c>
      <c r="E17">
        <v>3209141155</v>
      </c>
      <c r="F17" t="s">
        <v>56</v>
      </c>
      <c r="G17" t="s">
        <v>161</v>
      </c>
      <c r="H17">
        <v>0</v>
      </c>
      <c r="I17" t="s">
        <v>8</v>
      </c>
      <c r="J17">
        <v>0</v>
      </c>
      <c r="K17">
        <v>210809</v>
      </c>
      <c r="L17">
        <v>0</v>
      </c>
      <c r="M17">
        <v>0</v>
      </c>
      <c r="N17">
        <v>0</v>
      </c>
      <c r="O17" t="s">
        <v>14</v>
      </c>
      <c r="P17" t="s">
        <v>25</v>
      </c>
      <c r="Q17" t="s">
        <v>47</v>
      </c>
      <c r="R17" t="s">
        <v>162</v>
      </c>
      <c r="S17">
        <v>125000</v>
      </c>
      <c r="T17">
        <v>0</v>
      </c>
      <c r="U17">
        <v>-125000</v>
      </c>
      <c r="V17" t="s">
        <v>117</v>
      </c>
      <c r="W17" t="str">
        <f>IFERROR(_xlfn.XLOOKUP(dbform[[#This Row],[Orden]],dbp!A:A,dbp!D:D),"Sin Procesos")</f>
        <v>Entregado</v>
      </c>
    </row>
    <row r="18" spans="1:23" x14ac:dyDescent="0.2">
      <c r="A18">
        <v>15</v>
      </c>
      <c r="B18">
        <v>45186</v>
      </c>
      <c r="C18" t="s">
        <v>157</v>
      </c>
      <c r="D18">
        <v>52724902</v>
      </c>
      <c r="E18">
        <v>3013106719</v>
      </c>
      <c r="F18" t="s">
        <v>75</v>
      </c>
      <c r="G18" t="s">
        <v>158</v>
      </c>
      <c r="H18">
        <v>0</v>
      </c>
      <c r="I18" t="s">
        <v>9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23</v>
      </c>
      <c r="Q18" t="s">
        <v>73</v>
      </c>
      <c r="R18" t="s">
        <v>151</v>
      </c>
      <c r="S18">
        <v>120000</v>
      </c>
      <c r="T18">
        <v>40000</v>
      </c>
      <c r="U18">
        <v>-80000</v>
      </c>
      <c r="V18" t="s">
        <v>117</v>
      </c>
      <c r="W18" t="str">
        <f>IFERROR(_xlfn.XLOOKUP(dbform[[#This Row],[Orden]],dbp!A:A,dbp!D:D),"Sin Procesos")</f>
        <v>Reparado</v>
      </c>
    </row>
    <row r="19" spans="1:23" x14ac:dyDescent="0.2">
      <c r="A19">
        <v>14</v>
      </c>
      <c r="B19">
        <v>45185</v>
      </c>
      <c r="C19" t="s">
        <v>153</v>
      </c>
      <c r="D19">
        <v>1003377494</v>
      </c>
      <c r="E19">
        <v>3209641024</v>
      </c>
      <c r="F19" t="s">
        <v>149</v>
      </c>
      <c r="G19" t="s">
        <v>154</v>
      </c>
      <c r="H19">
        <v>0</v>
      </c>
      <c r="I19" t="s">
        <v>8</v>
      </c>
      <c r="J19" t="s">
        <v>48</v>
      </c>
      <c r="K19">
        <v>1999</v>
      </c>
      <c r="L19" t="s">
        <v>48</v>
      </c>
      <c r="M19" t="s">
        <v>48</v>
      </c>
      <c r="N19" t="s">
        <v>16</v>
      </c>
      <c r="O19" t="s">
        <v>48</v>
      </c>
      <c r="P19" t="s">
        <v>25</v>
      </c>
      <c r="Q19" t="s">
        <v>155</v>
      </c>
      <c r="R19" t="s">
        <v>156</v>
      </c>
      <c r="S19">
        <v>120000</v>
      </c>
      <c r="T19">
        <v>120000</v>
      </c>
      <c r="U19">
        <v>0</v>
      </c>
      <c r="V19" t="s">
        <v>117</v>
      </c>
      <c r="W19" t="str">
        <f>IFERROR(_xlfn.XLOOKUP(dbform[[#This Row],[Orden]],dbp!A:A,dbp!D:D),"Sin Procesos")</f>
        <v>Sin Procesos</v>
      </c>
    </row>
    <row r="20" spans="1:23" x14ac:dyDescent="0.2">
      <c r="A20">
        <v>13</v>
      </c>
      <c r="B20">
        <v>45184</v>
      </c>
      <c r="C20" t="s">
        <v>148</v>
      </c>
      <c r="D20">
        <v>1066509408</v>
      </c>
      <c r="E20">
        <v>3229134023</v>
      </c>
      <c r="F20" t="s">
        <v>149</v>
      </c>
      <c r="G20" t="s">
        <v>150</v>
      </c>
      <c r="H20">
        <v>0</v>
      </c>
      <c r="I20" t="s">
        <v>8</v>
      </c>
      <c r="J20" t="s">
        <v>48</v>
      </c>
      <c r="K20">
        <v>2518</v>
      </c>
      <c r="L20" t="s">
        <v>48</v>
      </c>
      <c r="M20" t="s">
        <v>48</v>
      </c>
      <c r="N20" t="s">
        <v>16</v>
      </c>
      <c r="O20" t="s">
        <v>14</v>
      </c>
      <c r="P20" t="s">
        <v>25</v>
      </c>
      <c r="Q20" t="s">
        <v>73</v>
      </c>
      <c r="R20" t="s">
        <v>151</v>
      </c>
      <c r="S20">
        <v>110000</v>
      </c>
      <c r="T20">
        <v>30000</v>
      </c>
      <c r="U20">
        <v>-80000</v>
      </c>
      <c r="V20" t="s">
        <v>117</v>
      </c>
      <c r="W20" t="str">
        <f>IFERROR(_xlfn.XLOOKUP(dbform[[#This Row],[Orden]],dbp!A:A,dbp!D:D),"Sin Procesos")</f>
        <v>Reparado</v>
      </c>
    </row>
    <row r="21" spans="1:23" x14ac:dyDescent="0.2">
      <c r="A21">
        <v>12</v>
      </c>
      <c r="B21">
        <v>45184</v>
      </c>
      <c r="C21" t="s">
        <v>143</v>
      </c>
      <c r="D21">
        <v>1024580916</v>
      </c>
      <c r="E21">
        <v>3209122563</v>
      </c>
      <c r="F21" t="s">
        <v>75</v>
      </c>
      <c r="G21" t="s">
        <v>144</v>
      </c>
      <c r="H21">
        <v>0</v>
      </c>
      <c r="I21" t="s">
        <v>8</v>
      </c>
      <c r="J21" t="s">
        <v>48</v>
      </c>
      <c r="K21">
        <v>0</v>
      </c>
      <c r="L21" t="s">
        <v>48</v>
      </c>
      <c r="M21" t="s">
        <v>48</v>
      </c>
      <c r="N21" t="s">
        <v>49</v>
      </c>
      <c r="O21" t="s">
        <v>14</v>
      </c>
      <c r="P21" t="s">
        <v>23</v>
      </c>
      <c r="Q21" t="s">
        <v>47</v>
      </c>
      <c r="R21" t="s">
        <v>145</v>
      </c>
      <c r="S21">
        <v>125000</v>
      </c>
      <c r="T21">
        <v>0</v>
      </c>
      <c r="U21">
        <v>-125000</v>
      </c>
      <c r="V21" t="s">
        <v>146</v>
      </c>
      <c r="W21" t="str">
        <f>IFERROR(_xlfn.XLOOKUP(dbform[[#This Row],[Orden]],dbp!A:A,dbp!D:D),"Sin Procesos")</f>
        <v>Reparado</v>
      </c>
    </row>
    <row r="22" spans="1:23" x14ac:dyDescent="0.2">
      <c r="A22">
        <v>11</v>
      </c>
      <c r="B22">
        <v>45184</v>
      </c>
      <c r="C22" t="s">
        <v>128</v>
      </c>
      <c r="D22">
        <v>1124370157</v>
      </c>
      <c r="E22">
        <v>3016079202</v>
      </c>
      <c r="F22" t="s">
        <v>71</v>
      </c>
      <c r="G22" t="s">
        <v>129</v>
      </c>
      <c r="H22">
        <v>0</v>
      </c>
      <c r="I22" t="s">
        <v>8</v>
      </c>
      <c r="J22" t="s">
        <v>48</v>
      </c>
      <c r="K22">
        <v>251403</v>
      </c>
      <c r="L22" t="s">
        <v>48</v>
      </c>
      <c r="M22" t="s">
        <v>48</v>
      </c>
      <c r="N22" t="s">
        <v>18</v>
      </c>
      <c r="O22" t="s">
        <v>14</v>
      </c>
      <c r="P22" t="s">
        <v>25</v>
      </c>
      <c r="Q22" t="s">
        <v>73</v>
      </c>
      <c r="R22" t="s">
        <v>130</v>
      </c>
      <c r="S22">
        <v>125000</v>
      </c>
      <c r="T22">
        <v>0</v>
      </c>
      <c r="U22">
        <v>-125000</v>
      </c>
      <c r="V22" t="s">
        <v>117</v>
      </c>
      <c r="W22" t="str">
        <f>IFERROR(_xlfn.XLOOKUP(dbform[[#This Row],[Orden]],dbp!A:A,dbp!D:D),"Sin Procesos")</f>
        <v>Reparado</v>
      </c>
    </row>
    <row r="23" spans="1:23" x14ac:dyDescent="0.2">
      <c r="A23">
        <v>10</v>
      </c>
      <c r="B23">
        <v>45184</v>
      </c>
      <c r="C23" t="s">
        <v>122</v>
      </c>
      <c r="D23">
        <v>606060606</v>
      </c>
      <c r="E23">
        <v>90900990</v>
      </c>
      <c r="F23" t="s">
        <v>123</v>
      </c>
      <c r="G23" t="s">
        <v>124</v>
      </c>
      <c r="H23" t="s">
        <v>125</v>
      </c>
      <c r="I23" t="s">
        <v>8</v>
      </c>
      <c r="J23" t="s">
        <v>11</v>
      </c>
      <c r="K23">
        <v>0</v>
      </c>
      <c r="L23" t="s">
        <v>13</v>
      </c>
      <c r="M23" t="s">
        <v>11</v>
      </c>
      <c r="N23" t="s">
        <v>49</v>
      </c>
      <c r="O23" t="s">
        <v>21</v>
      </c>
      <c r="P23" t="s">
        <v>24</v>
      </c>
      <c r="Q23" t="s">
        <v>126</v>
      </c>
      <c r="R23">
        <v>0</v>
      </c>
      <c r="S23">
        <v>30000</v>
      </c>
      <c r="T23">
        <v>30000</v>
      </c>
      <c r="U23">
        <v>0</v>
      </c>
      <c r="V23" t="s">
        <v>127</v>
      </c>
      <c r="W23" t="str">
        <f>IFERROR(_xlfn.XLOOKUP(dbform[[#This Row],[Orden]],dbp!A:A,dbp!D:D),"Sin Procesos")</f>
        <v>Reparado</v>
      </c>
    </row>
    <row r="24" spans="1:23" x14ac:dyDescent="0.2">
      <c r="A24">
        <v>9</v>
      </c>
      <c r="B24">
        <v>45184</v>
      </c>
      <c r="C24" t="s">
        <v>118</v>
      </c>
      <c r="D24">
        <v>20202020</v>
      </c>
      <c r="E24">
        <v>3040340304</v>
      </c>
      <c r="F24" t="s">
        <v>56</v>
      </c>
      <c r="G24" t="s">
        <v>57</v>
      </c>
      <c r="H24" t="s">
        <v>119</v>
      </c>
      <c r="I24" t="s">
        <v>8</v>
      </c>
      <c r="J24" t="s">
        <v>10</v>
      </c>
      <c r="K24">
        <v>0</v>
      </c>
      <c r="L24" t="s">
        <v>48</v>
      </c>
      <c r="M24" t="s">
        <v>10</v>
      </c>
      <c r="N24" t="s">
        <v>49</v>
      </c>
      <c r="O24" t="s">
        <v>14</v>
      </c>
      <c r="P24" t="s">
        <v>24</v>
      </c>
      <c r="Q24" t="s">
        <v>109</v>
      </c>
      <c r="R24" t="s">
        <v>120</v>
      </c>
      <c r="S24">
        <v>0</v>
      </c>
      <c r="T24">
        <v>0</v>
      </c>
      <c r="U24">
        <v>0</v>
      </c>
      <c r="V24" t="s">
        <v>121</v>
      </c>
      <c r="W24" t="str">
        <f>IFERROR(_xlfn.XLOOKUP(dbform[[#This Row],[Orden]],dbp!A:A,dbp!D:D),"Sin Procesos")</f>
        <v>Sin Procesos</v>
      </c>
    </row>
    <row r="25" spans="1:23" x14ac:dyDescent="0.2">
      <c r="A25">
        <v>8</v>
      </c>
      <c r="B25">
        <v>45184</v>
      </c>
      <c r="C25" t="s">
        <v>111</v>
      </c>
      <c r="D25">
        <v>346587</v>
      </c>
      <c r="E25">
        <v>308907060</v>
      </c>
      <c r="F25" t="s">
        <v>112</v>
      </c>
      <c r="G25" t="s">
        <v>113</v>
      </c>
      <c r="H25" t="s">
        <v>114</v>
      </c>
      <c r="I25" t="s">
        <v>8</v>
      </c>
      <c r="J25" t="s">
        <v>11</v>
      </c>
      <c r="K25">
        <v>0</v>
      </c>
      <c r="L25" t="s">
        <v>14</v>
      </c>
      <c r="M25" t="s">
        <v>10</v>
      </c>
      <c r="N25" t="s">
        <v>50</v>
      </c>
      <c r="O25" t="s">
        <v>14</v>
      </c>
      <c r="P25" t="s">
        <v>25</v>
      </c>
      <c r="Q25" t="s">
        <v>115</v>
      </c>
      <c r="R25" t="s">
        <v>116</v>
      </c>
      <c r="S25">
        <v>180000</v>
      </c>
      <c r="T25">
        <v>80000</v>
      </c>
      <c r="U25">
        <v>-100000</v>
      </c>
      <c r="V25" t="s">
        <v>117</v>
      </c>
      <c r="W25" t="str">
        <f>IFERROR(_xlfn.XLOOKUP(dbform[[#This Row],[Orden]],dbp!A:A,dbp!D:D),"Sin Procesos")</f>
        <v>Sin Procesos</v>
      </c>
    </row>
    <row r="26" spans="1:23" x14ac:dyDescent="0.2">
      <c r="A26">
        <v>7</v>
      </c>
      <c r="B26">
        <v>45184</v>
      </c>
      <c r="C26" t="s">
        <v>105</v>
      </c>
      <c r="D26">
        <v>907068</v>
      </c>
      <c r="E26">
        <v>3224156755</v>
      </c>
      <c r="F26" t="s">
        <v>107</v>
      </c>
      <c r="G26" t="s">
        <v>106</v>
      </c>
      <c r="H26" t="s">
        <v>108</v>
      </c>
      <c r="I26" t="s">
        <v>8</v>
      </c>
      <c r="J26" t="s">
        <v>48</v>
      </c>
      <c r="K26">
        <v>0</v>
      </c>
      <c r="L26" t="s">
        <v>48</v>
      </c>
      <c r="M26" t="s">
        <v>10</v>
      </c>
      <c r="N26" t="s">
        <v>49</v>
      </c>
      <c r="O26" t="s">
        <v>14</v>
      </c>
      <c r="P26" t="s">
        <v>23</v>
      </c>
      <c r="Q26" t="s">
        <v>109</v>
      </c>
      <c r="R26" t="s">
        <v>110</v>
      </c>
      <c r="S26">
        <v>350000</v>
      </c>
      <c r="T26">
        <v>300000</v>
      </c>
      <c r="U26">
        <v>-50000</v>
      </c>
      <c r="V26">
        <v>0</v>
      </c>
      <c r="W26" t="str">
        <f>IFERROR(_xlfn.XLOOKUP(dbform[[#This Row],[Orden]],dbp!A:A,dbp!D:D),"Sin Procesos")</f>
        <v>Sin Procesos</v>
      </c>
    </row>
    <row r="27" spans="1:23" x14ac:dyDescent="0.2">
      <c r="A27">
        <v>6</v>
      </c>
      <c r="B27">
        <v>45184</v>
      </c>
      <c r="C27" t="s">
        <v>99</v>
      </c>
      <c r="D27">
        <v>80677812</v>
      </c>
      <c r="E27">
        <v>3046313114</v>
      </c>
      <c r="F27" t="s">
        <v>75</v>
      </c>
      <c r="G27" t="s">
        <v>101</v>
      </c>
      <c r="H27" t="s">
        <v>102</v>
      </c>
      <c r="I27" t="s">
        <v>8</v>
      </c>
      <c r="J27" t="s">
        <v>10</v>
      </c>
      <c r="K27">
        <v>0</v>
      </c>
      <c r="L27" t="s">
        <v>14</v>
      </c>
      <c r="M27" t="s">
        <v>10</v>
      </c>
      <c r="N27" t="s">
        <v>50</v>
      </c>
      <c r="O27" t="s">
        <v>14</v>
      </c>
      <c r="P27" t="s">
        <v>25</v>
      </c>
      <c r="Q27" t="s">
        <v>103</v>
      </c>
      <c r="R27" t="s">
        <v>104</v>
      </c>
      <c r="S27">
        <v>30000</v>
      </c>
      <c r="T27">
        <v>15000</v>
      </c>
      <c r="U27">
        <v>-15000</v>
      </c>
      <c r="V27" t="s">
        <v>89</v>
      </c>
      <c r="W27" t="str">
        <f>IFERROR(_xlfn.XLOOKUP(dbform[[#This Row],[Orden]],dbp!A:A,dbp!D:D),"Sin Procesos")</f>
        <v>Sin Procesos</v>
      </c>
    </row>
    <row r="28" spans="1:23" x14ac:dyDescent="0.2">
      <c r="A28">
        <v>5</v>
      </c>
      <c r="B28">
        <v>45184</v>
      </c>
      <c r="C28" t="s">
        <v>87</v>
      </c>
      <c r="D28">
        <v>80577811</v>
      </c>
      <c r="E28">
        <v>3046313114</v>
      </c>
      <c r="F28" t="s">
        <v>94</v>
      </c>
      <c r="G28" t="s">
        <v>95</v>
      </c>
      <c r="H28" t="s">
        <v>96</v>
      </c>
      <c r="I28" t="s">
        <v>8</v>
      </c>
      <c r="J28" t="s">
        <v>10</v>
      </c>
      <c r="K28">
        <v>908070</v>
      </c>
      <c r="L28" t="s">
        <v>14</v>
      </c>
      <c r="M28" t="s">
        <v>10</v>
      </c>
      <c r="N28" t="s">
        <v>50</v>
      </c>
      <c r="O28" t="s">
        <v>14</v>
      </c>
      <c r="P28" t="s">
        <v>25</v>
      </c>
      <c r="Q28" t="s">
        <v>97</v>
      </c>
      <c r="R28" t="s">
        <v>98</v>
      </c>
      <c r="S28">
        <v>20000</v>
      </c>
      <c r="T28">
        <v>20000</v>
      </c>
      <c r="U28">
        <v>0</v>
      </c>
      <c r="V28" t="s">
        <v>89</v>
      </c>
      <c r="W28" t="str">
        <f>IFERROR(_xlfn.XLOOKUP(dbform[[#This Row],[Orden]],dbp!A:A,dbp!D:D),"Sin Procesos")</f>
        <v>Sin Procesos</v>
      </c>
    </row>
    <row r="29" spans="1:23" x14ac:dyDescent="0.2">
      <c r="A29">
        <v>4</v>
      </c>
      <c r="B29">
        <v>45180</v>
      </c>
      <c r="C29" t="s">
        <v>87</v>
      </c>
      <c r="D29">
        <v>80577811</v>
      </c>
      <c r="E29">
        <v>30346313114</v>
      </c>
      <c r="F29">
        <v>0</v>
      </c>
      <c r="G29">
        <v>0</v>
      </c>
      <c r="H29">
        <v>0</v>
      </c>
      <c r="I29" t="s">
        <v>8</v>
      </c>
      <c r="J29" t="s">
        <v>48</v>
      </c>
      <c r="K29">
        <v>0</v>
      </c>
      <c r="L29" t="s">
        <v>48</v>
      </c>
      <c r="M29" t="s">
        <v>48</v>
      </c>
      <c r="N29" t="s">
        <v>16</v>
      </c>
      <c r="O29" t="s">
        <v>14</v>
      </c>
      <c r="P29" t="s">
        <v>25</v>
      </c>
      <c r="Q29" t="s">
        <v>47</v>
      </c>
      <c r="R29" t="s">
        <v>88</v>
      </c>
      <c r="S29">
        <v>800000</v>
      </c>
      <c r="T29">
        <v>800000</v>
      </c>
      <c r="U29">
        <v>0</v>
      </c>
      <c r="V29" t="s">
        <v>89</v>
      </c>
      <c r="W29" t="str">
        <f>IFERROR(_xlfn.XLOOKUP(dbform[[#This Row],[Orden]],dbp!A:A,dbp!D:D),"Sin Procesos")</f>
        <v>Sin Procesos</v>
      </c>
    </row>
    <row r="30" spans="1:23" x14ac:dyDescent="0.2">
      <c r="A30">
        <v>3</v>
      </c>
      <c r="B30">
        <v>45180</v>
      </c>
      <c r="C30" t="s">
        <v>80</v>
      </c>
      <c r="D30">
        <v>6235612</v>
      </c>
      <c r="E30">
        <v>32364561253</v>
      </c>
      <c r="F30" t="s">
        <v>75</v>
      </c>
      <c r="G30" t="s">
        <v>81</v>
      </c>
      <c r="H30" t="s">
        <v>82</v>
      </c>
      <c r="I30" t="s">
        <v>8</v>
      </c>
      <c r="J30" t="s">
        <v>48</v>
      </c>
      <c r="K30">
        <v>0</v>
      </c>
      <c r="L30" t="s">
        <v>48</v>
      </c>
      <c r="M30" t="s">
        <v>48</v>
      </c>
      <c r="N30" t="s">
        <v>49</v>
      </c>
      <c r="O30" t="s">
        <v>14</v>
      </c>
      <c r="P30" t="s">
        <v>25</v>
      </c>
      <c r="Q30" t="s">
        <v>73</v>
      </c>
      <c r="R30" t="s">
        <v>83</v>
      </c>
      <c r="S30">
        <v>1500000</v>
      </c>
      <c r="T30">
        <v>1000000</v>
      </c>
      <c r="U30">
        <v>-500000</v>
      </c>
      <c r="V30">
        <v>123456789</v>
      </c>
      <c r="W30" t="str">
        <f>IFERROR(_xlfn.XLOOKUP(dbform[[#This Row],[Orden]],dbp!A:A,dbp!D:D),"Sin Procesos")</f>
        <v>Sin Procesos</v>
      </c>
    </row>
    <row r="31" spans="1:23" x14ac:dyDescent="0.2">
      <c r="A31">
        <v>2</v>
      </c>
      <c r="B31">
        <v>45180</v>
      </c>
      <c r="C31" t="s">
        <v>78</v>
      </c>
      <c r="D31">
        <v>8127643</v>
      </c>
      <c r="E31">
        <v>687523</v>
      </c>
      <c r="F31" t="s">
        <v>56</v>
      </c>
      <c r="G31" t="s">
        <v>57</v>
      </c>
      <c r="H31" t="s">
        <v>79</v>
      </c>
      <c r="I31" t="s">
        <v>8</v>
      </c>
      <c r="J31" t="s">
        <v>48</v>
      </c>
      <c r="K31">
        <v>0</v>
      </c>
      <c r="L31" t="s">
        <v>48</v>
      </c>
      <c r="M31" t="s">
        <v>48</v>
      </c>
      <c r="N31" t="s">
        <v>16</v>
      </c>
      <c r="O31" t="s">
        <v>14</v>
      </c>
      <c r="P31" t="s">
        <v>25</v>
      </c>
      <c r="Q31" t="s">
        <v>73</v>
      </c>
      <c r="R31" t="s">
        <v>74</v>
      </c>
      <c r="S31">
        <v>150000</v>
      </c>
      <c r="T31">
        <v>100000</v>
      </c>
      <c r="U31">
        <v>-50000</v>
      </c>
      <c r="V31" t="s">
        <v>85</v>
      </c>
      <c r="W31" t="str">
        <f>IFERROR(_xlfn.XLOOKUP(dbform[[#This Row],[Orden]],dbp!A:A,dbp!D:D),"Sin Procesos")</f>
        <v>Sin Procesos</v>
      </c>
    </row>
    <row r="32" spans="1:23" x14ac:dyDescent="0.2">
      <c r="A32">
        <v>1</v>
      </c>
      <c r="B32">
        <v>45180</v>
      </c>
      <c r="C32" t="s">
        <v>76</v>
      </c>
      <c r="D32">
        <v>46918236</v>
      </c>
      <c r="E32">
        <v>8613489612</v>
      </c>
      <c r="F32" t="s">
        <v>71</v>
      </c>
      <c r="G32" t="s">
        <v>72</v>
      </c>
      <c r="H32" t="s">
        <v>77</v>
      </c>
      <c r="I32" t="s">
        <v>8</v>
      </c>
      <c r="J32" t="s">
        <v>10</v>
      </c>
      <c r="K32">
        <v>0</v>
      </c>
      <c r="L32" t="s">
        <v>14</v>
      </c>
      <c r="M32" t="s">
        <v>48</v>
      </c>
      <c r="N32" t="s">
        <v>16</v>
      </c>
      <c r="O32" t="s">
        <v>14</v>
      </c>
      <c r="P32" t="s">
        <v>25</v>
      </c>
      <c r="Q32" t="s">
        <v>73</v>
      </c>
      <c r="R32" t="s">
        <v>74</v>
      </c>
      <c r="S32">
        <v>120000</v>
      </c>
      <c r="T32">
        <v>120000</v>
      </c>
      <c r="U32">
        <v>0</v>
      </c>
      <c r="V32" t="s">
        <v>86</v>
      </c>
      <c r="W32" t="str">
        <f>IFERROR(_xlfn.XLOOKUP(dbform[[#This Row],[Orden]],dbp!A:A,dbp!D:D),"Sin Procesos")</f>
        <v>Entregado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48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3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D1" t="s">
        <v>131</v>
      </c>
      <c r="E1">
        <f>Consulta!J1</f>
        <v>30</v>
      </c>
    </row>
    <row r="2" spans="1:5" x14ac:dyDescent="0.2">
      <c r="B2" s="39"/>
    </row>
    <row r="3" spans="1:5" x14ac:dyDescent="0.2">
      <c r="A3">
        <v>30</v>
      </c>
      <c r="B3" s="39">
        <v>45203.927421064815</v>
      </c>
      <c r="C3" t="s">
        <v>174</v>
      </c>
      <c r="D3" t="s">
        <v>178</v>
      </c>
    </row>
    <row r="4" spans="1:5" x14ac:dyDescent="0.2">
      <c r="B4" s="39"/>
    </row>
    <row r="5" spans="1:5" x14ac:dyDescent="0.2">
      <c r="A5">
        <v>24</v>
      </c>
      <c r="B5" s="39">
        <v>45202.90371273148</v>
      </c>
      <c r="C5" t="s">
        <v>236</v>
      </c>
      <c r="D5" t="s">
        <v>179</v>
      </c>
    </row>
    <row r="6" spans="1:5" x14ac:dyDescent="0.2">
      <c r="B6" s="39"/>
    </row>
    <row r="7" spans="1:5" x14ac:dyDescent="0.2">
      <c r="A7">
        <v>28</v>
      </c>
      <c r="B7" s="39">
        <v>45202.903206828705</v>
      </c>
      <c r="C7" t="s">
        <v>209</v>
      </c>
      <c r="D7" t="s">
        <v>179</v>
      </c>
    </row>
    <row r="8" spans="1:5" x14ac:dyDescent="0.2">
      <c r="B8" s="39"/>
    </row>
    <row r="9" spans="1:5" x14ac:dyDescent="0.2">
      <c r="A9">
        <v>26</v>
      </c>
      <c r="B9" s="39">
        <v>45201.577428703706</v>
      </c>
      <c r="C9" t="s">
        <v>228</v>
      </c>
      <c r="D9" t="s">
        <v>179</v>
      </c>
    </row>
    <row r="10" spans="1:5" x14ac:dyDescent="0.2">
      <c r="B10" s="39"/>
    </row>
    <row r="11" spans="1:5" x14ac:dyDescent="0.2">
      <c r="A11">
        <v>26</v>
      </c>
      <c r="B11" s="39">
        <v>45201.549890162038</v>
      </c>
      <c r="C11" t="s">
        <v>227</v>
      </c>
      <c r="D11" t="s">
        <v>178</v>
      </c>
    </row>
    <row r="12" spans="1:5" x14ac:dyDescent="0.2">
      <c r="B12" s="39"/>
    </row>
    <row r="13" spans="1:5" x14ac:dyDescent="0.2">
      <c r="A13">
        <v>25</v>
      </c>
      <c r="B13" s="39">
        <v>45200.898513773151</v>
      </c>
      <c r="C13" t="s">
        <v>174</v>
      </c>
      <c r="D13" t="s">
        <v>178</v>
      </c>
    </row>
    <row r="14" spans="1:5" x14ac:dyDescent="0.2">
      <c r="B14" s="39"/>
    </row>
    <row r="15" spans="1:5" x14ac:dyDescent="0.2">
      <c r="A15">
        <v>23</v>
      </c>
      <c r="B15" s="39">
        <v>45199.901722337963</v>
      </c>
      <c r="C15" t="s">
        <v>209</v>
      </c>
      <c r="D15" t="s">
        <v>179</v>
      </c>
    </row>
    <row r="16" spans="1:5" x14ac:dyDescent="0.2">
      <c r="B16" s="39"/>
    </row>
    <row r="17" spans="1:4" x14ac:dyDescent="0.2">
      <c r="A17">
        <v>22</v>
      </c>
      <c r="B17" s="39">
        <v>45198.891121180553</v>
      </c>
      <c r="C17" t="s">
        <v>205</v>
      </c>
      <c r="D17" t="s">
        <v>179</v>
      </c>
    </row>
    <row r="18" spans="1:4" x14ac:dyDescent="0.2">
      <c r="B18" s="39"/>
    </row>
    <row r="19" spans="1:4" x14ac:dyDescent="0.2">
      <c r="A19">
        <v>0</v>
      </c>
      <c r="B19" s="39">
        <v>45197.921153124997</v>
      </c>
      <c r="C19" t="s">
        <v>201</v>
      </c>
      <c r="D19" t="s">
        <v>179</v>
      </c>
    </row>
    <row r="20" spans="1:4" x14ac:dyDescent="0.2">
      <c r="B20" s="39"/>
    </row>
    <row r="21" spans="1:4" x14ac:dyDescent="0.2">
      <c r="A21">
        <v>21</v>
      </c>
      <c r="B21" s="39">
        <v>45197.920668634259</v>
      </c>
      <c r="C21" t="s">
        <v>200</v>
      </c>
      <c r="D21">
        <v>0</v>
      </c>
    </row>
    <row r="22" spans="1:4" x14ac:dyDescent="0.2">
      <c r="B22" s="39"/>
    </row>
    <row r="23" spans="1:4" x14ac:dyDescent="0.2">
      <c r="A23">
        <v>20</v>
      </c>
      <c r="B23" s="39">
        <v>45195.839935879631</v>
      </c>
      <c r="C23">
        <v>0</v>
      </c>
      <c r="D23" t="s">
        <v>179</v>
      </c>
    </row>
    <row r="24" spans="1:4" x14ac:dyDescent="0.2">
      <c r="B24" s="39"/>
    </row>
    <row r="25" spans="1:4" x14ac:dyDescent="0.2">
      <c r="A25">
        <v>19</v>
      </c>
      <c r="B25" s="39">
        <v>45195.839123611113</v>
      </c>
      <c r="C25" t="s">
        <v>195</v>
      </c>
      <c r="D25">
        <v>0</v>
      </c>
    </row>
    <row r="26" spans="1:4" x14ac:dyDescent="0.2">
      <c r="B26" s="39"/>
    </row>
    <row r="27" spans="1:4" x14ac:dyDescent="0.2">
      <c r="A27">
        <v>20</v>
      </c>
      <c r="B27" s="39">
        <v>45195.765503356481</v>
      </c>
      <c r="C27" t="s">
        <v>194</v>
      </c>
      <c r="D27">
        <v>0</v>
      </c>
    </row>
    <row r="28" spans="1:4" x14ac:dyDescent="0.2">
      <c r="B28" s="39"/>
    </row>
    <row r="29" spans="1:4" x14ac:dyDescent="0.2">
      <c r="A29">
        <v>20</v>
      </c>
      <c r="B29" s="39">
        <v>45195.735324189816</v>
      </c>
      <c r="C29" t="s">
        <v>193</v>
      </c>
      <c r="D29">
        <v>0</v>
      </c>
    </row>
    <row r="30" spans="1:4" x14ac:dyDescent="0.2">
      <c r="B30" s="39"/>
    </row>
    <row r="31" spans="1:4" x14ac:dyDescent="0.2">
      <c r="A31">
        <v>18</v>
      </c>
      <c r="B31" s="39">
        <v>45192.264322916664</v>
      </c>
      <c r="C31" t="s">
        <v>183</v>
      </c>
      <c r="D31" t="s">
        <v>179</v>
      </c>
    </row>
    <row r="32" spans="1:4" x14ac:dyDescent="0.2">
      <c r="B32" s="39"/>
    </row>
    <row r="33" spans="1:4" x14ac:dyDescent="0.2">
      <c r="A33">
        <v>18</v>
      </c>
      <c r="B33" s="39">
        <v>45192.262791203706</v>
      </c>
      <c r="C33" t="s">
        <v>182</v>
      </c>
      <c r="D33" t="s">
        <v>180</v>
      </c>
    </row>
    <row r="34" spans="1:4" x14ac:dyDescent="0.2">
      <c r="B34" s="39"/>
    </row>
    <row r="35" spans="1:4" x14ac:dyDescent="0.2">
      <c r="A35">
        <v>18</v>
      </c>
      <c r="B35" s="39">
        <v>45192.262096296297</v>
      </c>
      <c r="C35" t="s">
        <v>181</v>
      </c>
      <c r="D35" t="s">
        <v>178</v>
      </c>
    </row>
    <row r="36" spans="1:4" x14ac:dyDescent="0.2">
      <c r="A36">
        <v>17</v>
      </c>
      <c r="B36" s="39">
        <v>45189.926555555554</v>
      </c>
      <c r="C36" t="s">
        <v>175</v>
      </c>
      <c r="D36" t="s">
        <v>179</v>
      </c>
    </row>
    <row r="37" spans="1:4" x14ac:dyDescent="0.2">
      <c r="A37">
        <v>17</v>
      </c>
      <c r="B37" s="39">
        <v>45189.676139351854</v>
      </c>
      <c r="C37" t="s">
        <v>174</v>
      </c>
      <c r="D37" t="s">
        <v>178</v>
      </c>
    </row>
    <row r="38" spans="1:4" x14ac:dyDescent="0.2">
      <c r="A38">
        <v>16</v>
      </c>
      <c r="B38" s="39">
        <v>45187.714141550925</v>
      </c>
      <c r="C38" t="s">
        <v>164</v>
      </c>
      <c r="D38" t="s">
        <v>179</v>
      </c>
    </row>
    <row r="39" spans="1:4" x14ac:dyDescent="0.2">
      <c r="A39">
        <v>16</v>
      </c>
      <c r="B39" s="39">
        <v>45187.692742129628</v>
      </c>
      <c r="C39" t="s">
        <v>163</v>
      </c>
      <c r="D39" t="s">
        <v>178</v>
      </c>
    </row>
    <row r="40" spans="1:4" x14ac:dyDescent="0.2">
      <c r="A40">
        <v>15</v>
      </c>
      <c r="B40" s="39">
        <v>45186.662879745367</v>
      </c>
      <c r="C40" t="s">
        <v>159</v>
      </c>
      <c r="D40" t="s">
        <v>178</v>
      </c>
    </row>
    <row r="41" spans="1:4" x14ac:dyDescent="0.2">
      <c r="A41">
        <v>13</v>
      </c>
      <c r="B41" s="39">
        <v>45184.89964236111</v>
      </c>
      <c r="C41" t="s">
        <v>152</v>
      </c>
      <c r="D41" t="s">
        <v>178</v>
      </c>
    </row>
    <row r="42" spans="1:4" x14ac:dyDescent="0.2">
      <c r="A42">
        <v>12</v>
      </c>
      <c r="B42" s="39">
        <v>45184.810916319446</v>
      </c>
      <c r="C42" t="s">
        <v>147</v>
      </c>
      <c r="D42" t="s">
        <v>178</v>
      </c>
    </row>
    <row r="43" spans="1:4" x14ac:dyDescent="0.2">
      <c r="A43">
        <v>1</v>
      </c>
      <c r="B43" s="39">
        <v>45184.672752777777</v>
      </c>
      <c r="C43" t="s">
        <v>142</v>
      </c>
      <c r="D43" t="s">
        <v>179</v>
      </c>
    </row>
    <row r="44" spans="1:4" x14ac:dyDescent="0.2">
      <c r="A44">
        <v>10</v>
      </c>
      <c r="B44" s="39">
        <v>45184.671338888889</v>
      </c>
      <c r="C44" t="s">
        <v>141</v>
      </c>
      <c r="D44" t="s">
        <v>178</v>
      </c>
    </row>
    <row r="45" spans="1:4" x14ac:dyDescent="0.2">
      <c r="A45">
        <v>10</v>
      </c>
      <c r="B45" s="39">
        <v>45184.669659375002</v>
      </c>
      <c r="C45" t="s">
        <v>140</v>
      </c>
      <c r="D45" t="s">
        <v>178</v>
      </c>
    </row>
    <row r="46" spans="1:4" x14ac:dyDescent="0.2">
      <c r="A46">
        <v>11</v>
      </c>
      <c r="B46" s="39">
        <v>45184.668373148146</v>
      </c>
      <c r="C46" t="s">
        <v>137</v>
      </c>
      <c r="D46" t="s">
        <v>178</v>
      </c>
    </row>
    <row r="47" spans="1:4" x14ac:dyDescent="0.2">
      <c r="A47">
        <v>11</v>
      </c>
      <c r="B47" s="39">
        <v>45184.666117245368</v>
      </c>
      <c r="C47" t="s">
        <v>136</v>
      </c>
      <c r="D47" t="s">
        <v>178</v>
      </c>
    </row>
    <row r="48" spans="1:4" x14ac:dyDescent="0.2">
      <c r="A48">
        <v>11</v>
      </c>
      <c r="B48" s="39">
        <v>45184.661205092591</v>
      </c>
      <c r="C48" t="s">
        <v>133</v>
      </c>
      <c r="D48" t="s">
        <v>178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996BE-FDE0-C247-AE45-C8BF8FABB24A}">
  <sheetPr codeName="Hoja9"/>
  <dimension ref="A5:L43"/>
  <sheetViews>
    <sheetView workbookViewId="0">
      <selection activeCell="C18" sqref="C18"/>
    </sheetView>
  </sheetViews>
  <sheetFormatPr baseColWidth="10" defaultRowHeight="14" x14ac:dyDescent="0.2"/>
  <cols>
    <col min="1" max="1" width="9.19921875" bestFit="1" customWidth="1"/>
    <col min="2" max="2" width="17.19921875" bestFit="1" customWidth="1"/>
    <col min="3" max="3" width="13.3984375" bestFit="1" customWidth="1"/>
    <col min="4" max="4" width="9.3984375" bestFit="1" customWidth="1"/>
    <col min="5" max="5" width="10.796875" bestFit="1" customWidth="1"/>
    <col min="6" max="6" width="18.59765625" bestFit="1" customWidth="1"/>
    <col min="7" max="7" width="31.59765625" bestFit="1" customWidth="1"/>
    <col min="8" max="8" width="47.59765625" bestFit="1" customWidth="1"/>
    <col min="9" max="10" width="9.3984375" bestFit="1" customWidth="1"/>
    <col min="11" max="11" width="10" bestFit="1" customWidth="1"/>
    <col min="12" max="13" width="9.59765625" bestFit="1" customWidth="1"/>
  </cols>
  <sheetData>
    <row r="5" spans="1:12" x14ac:dyDescent="0.2">
      <c r="A5" s="42" t="s">
        <v>54</v>
      </c>
      <c r="B5" s="42" t="s">
        <v>58</v>
      </c>
      <c r="C5" s="42" t="s">
        <v>61</v>
      </c>
      <c r="D5" s="42" t="s">
        <v>62</v>
      </c>
      <c r="E5" s="42" t="s">
        <v>63</v>
      </c>
      <c r="F5" s="42" t="s">
        <v>64</v>
      </c>
      <c r="G5" s="42" t="s">
        <v>67</v>
      </c>
      <c r="H5" s="42" t="s">
        <v>70</v>
      </c>
      <c r="I5" s="42" t="s">
        <v>51</v>
      </c>
      <c r="J5" s="42" t="s">
        <v>52</v>
      </c>
      <c r="K5" s="42" t="s">
        <v>53</v>
      </c>
      <c r="L5" s="42" t="s">
        <v>131</v>
      </c>
    </row>
    <row r="6" spans="1:12" x14ac:dyDescent="0.2">
      <c r="A6">
        <v>18</v>
      </c>
      <c r="B6" t="s">
        <v>171</v>
      </c>
      <c r="C6">
        <v>3219105712</v>
      </c>
      <c r="D6" t="s">
        <v>123</v>
      </c>
      <c r="E6" t="s">
        <v>124</v>
      </c>
      <c r="F6">
        <v>0</v>
      </c>
      <c r="G6" t="s">
        <v>172</v>
      </c>
      <c r="H6" t="s">
        <v>104</v>
      </c>
      <c r="I6">
        <v>165000</v>
      </c>
      <c r="J6">
        <v>0</v>
      </c>
      <c r="K6">
        <v>-165000</v>
      </c>
      <c r="L6" t="s">
        <v>179</v>
      </c>
    </row>
    <row r="7" spans="1:12" x14ac:dyDescent="0.2">
      <c r="A7">
        <v>17</v>
      </c>
      <c r="B7" t="s">
        <v>165</v>
      </c>
      <c r="C7">
        <v>3177960192</v>
      </c>
      <c r="D7" t="s">
        <v>166</v>
      </c>
      <c r="E7" t="s">
        <v>167</v>
      </c>
      <c r="F7" t="s">
        <v>168</v>
      </c>
      <c r="G7" t="s">
        <v>73</v>
      </c>
      <c r="H7" t="s">
        <v>169</v>
      </c>
      <c r="I7">
        <v>125000</v>
      </c>
      <c r="J7">
        <v>70000</v>
      </c>
      <c r="K7">
        <v>-55000</v>
      </c>
      <c r="L7" t="s">
        <v>179</v>
      </c>
    </row>
    <row r="8" spans="1:12" x14ac:dyDescent="0.2">
      <c r="A8">
        <v>16</v>
      </c>
      <c r="B8" t="s">
        <v>160</v>
      </c>
      <c r="C8">
        <v>3209141155</v>
      </c>
      <c r="D8" t="s">
        <v>56</v>
      </c>
      <c r="E8" t="s">
        <v>161</v>
      </c>
      <c r="F8">
        <v>0</v>
      </c>
      <c r="G8" t="s">
        <v>73</v>
      </c>
      <c r="H8" t="s">
        <v>162</v>
      </c>
      <c r="I8">
        <v>125000</v>
      </c>
      <c r="J8">
        <v>0</v>
      </c>
      <c r="K8">
        <v>-125000</v>
      </c>
      <c r="L8" t="s">
        <v>179</v>
      </c>
    </row>
    <row r="9" spans="1:12" x14ac:dyDescent="0.2">
      <c r="A9">
        <v>1</v>
      </c>
      <c r="B9" t="s">
        <v>76</v>
      </c>
      <c r="C9">
        <v>8613489612</v>
      </c>
      <c r="D9" t="s">
        <v>71</v>
      </c>
      <c r="E9" t="s">
        <v>72</v>
      </c>
      <c r="F9" t="s">
        <v>77</v>
      </c>
      <c r="G9" t="s">
        <v>73</v>
      </c>
      <c r="H9" t="s">
        <v>156</v>
      </c>
      <c r="I9">
        <v>120000</v>
      </c>
      <c r="J9">
        <v>120000</v>
      </c>
      <c r="K9">
        <v>0</v>
      </c>
      <c r="L9" t="s">
        <v>179</v>
      </c>
    </row>
    <row r="25" spans="2:2" x14ac:dyDescent="0.2">
      <c r="B25" s="43"/>
    </row>
    <row r="26" spans="2:2" x14ac:dyDescent="0.2">
      <c r="B26" s="43"/>
    </row>
    <row r="27" spans="2:2" x14ac:dyDescent="0.2">
      <c r="B27" s="43"/>
    </row>
    <row r="28" spans="2:2" x14ac:dyDescent="0.2">
      <c r="B28" s="43"/>
    </row>
    <row r="29" spans="2:2" x14ac:dyDescent="0.2">
      <c r="B29" s="43"/>
    </row>
    <row r="30" spans="2:2" x14ac:dyDescent="0.2">
      <c r="B30" s="43"/>
    </row>
    <row r="31" spans="2:2" x14ac:dyDescent="0.2">
      <c r="B31" s="43"/>
    </row>
    <row r="32" spans="2:2" x14ac:dyDescent="0.2">
      <c r="B32" s="43"/>
    </row>
    <row r="33" spans="2:2" x14ac:dyDescent="0.2">
      <c r="B33" s="43"/>
    </row>
    <row r="34" spans="2:2" x14ac:dyDescent="0.2">
      <c r="B34" s="43"/>
    </row>
    <row r="35" spans="2:2" x14ac:dyDescent="0.2">
      <c r="B35" s="43"/>
    </row>
    <row r="36" spans="2:2" x14ac:dyDescent="0.2">
      <c r="B36" s="43"/>
    </row>
    <row r="37" spans="2:2" x14ac:dyDescent="0.2">
      <c r="B37" s="43"/>
    </row>
    <row r="38" spans="2:2" x14ac:dyDescent="0.2">
      <c r="B38" s="43"/>
    </row>
    <row r="39" spans="2:2" x14ac:dyDescent="0.2">
      <c r="B39" s="43"/>
    </row>
    <row r="40" spans="2:2" x14ac:dyDescent="0.2">
      <c r="B40" s="43"/>
    </row>
    <row r="41" spans="2:2" x14ac:dyDescent="0.2">
      <c r="B41" s="43"/>
    </row>
    <row r="42" spans="2:2" x14ac:dyDescent="0.2">
      <c r="B42" s="43"/>
    </row>
    <row r="43" spans="2:2" x14ac:dyDescent="0.2">
      <c r="B43" s="43"/>
    </row>
  </sheetData>
  <pageMargins left="0.7" right="0.7" top="0.75" bottom="0.75" header="0.3" footer="0.3"/>
  <pageSetup orientation="portrait" horizontalDpi="0" verticalDpi="0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21</vt:i4>
      </vt:variant>
    </vt:vector>
  </HeadingPairs>
  <TitlesOfParts>
    <vt:vector size="30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inventario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2023-10-05T03:05:40Z</cp:lastPrinted>
  <dcterms:created xsi:type="dcterms:W3CDTF">2023-09-09T14:17:02Z</dcterms:created>
  <dcterms:modified xsi:type="dcterms:W3CDTF">2023-10-05T03:15:54Z</dcterms:modified>
</cp:coreProperties>
</file>